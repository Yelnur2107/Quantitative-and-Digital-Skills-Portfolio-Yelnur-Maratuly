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stle S.A." sheetId="1" r:id="rId5"/>
    <sheet state="visible" name="Mitsubishi" sheetId="2" r:id="rId6"/>
    <sheet state="visible" name="combine" sheetId="3" r:id="rId7"/>
    <sheet state="visible" name="dataset_descriptions" sheetId="4" r:id="rId8"/>
    <sheet state="visible" name="covariance &amp; correlation " sheetId="5" r:id="rId9"/>
    <sheet state="visible" name="sharpe ratio" sheetId="6" r:id="rId10"/>
    <sheet state="visible" name="Risk_comparison" sheetId="7" r:id="rId11"/>
    <sheet state="visible" name="S&amp;P 500" sheetId="8" r:id="rId12"/>
    <sheet state="visible" name="CAPM Regression Data (weekly ex" sheetId="9" r:id="rId13"/>
    <sheet state="visible" name="CAPM Regression Nestle" sheetId="10" r:id="rId14"/>
    <sheet state="visible" name="CAPM Regression Mitsub." sheetId="11" r:id="rId15"/>
  </sheets>
  <definedNames/>
  <calcPr/>
</workbook>
</file>

<file path=xl/sharedStrings.xml><?xml version="1.0" encoding="utf-8"?>
<sst xmlns="http://schemas.openxmlformats.org/spreadsheetml/2006/main" count="157" uniqueCount="85">
  <si>
    <t>Date</t>
  </si>
  <si>
    <t>Open</t>
  </si>
  <si>
    <t>High</t>
  </si>
  <si>
    <t>Low</t>
  </si>
  <si>
    <t>Close</t>
  </si>
  <si>
    <t>Adj Close</t>
  </si>
  <si>
    <t>Volume</t>
  </si>
  <si>
    <t>3.05 Dividend</t>
  </si>
  <si>
    <t>0.269 Dividend</t>
  </si>
  <si>
    <t>Nestlé S.A.</t>
  </si>
  <si>
    <t>Mitsubishi UFJ Financial Group</t>
  </si>
  <si>
    <t>Nestlé S.A. weekly return</t>
  </si>
  <si>
    <t>Mitsub. weekly return</t>
  </si>
  <si>
    <t>Nestle S.A</t>
  </si>
  <si>
    <t>Mitsub.</t>
  </si>
  <si>
    <t>Mean</t>
  </si>
  <si>
    <t>Mean ab. deviation</t>
  </si>
  <si>
    <t>Sample variance</t>
  </si>
  <si>
    <t>Sample s.d</t>
  </si>
  <si>
    <t>CV</t>
  </si>
  <si>
    <t>Max</t>
  </si>
  <si>
    <t>Min</t>
  </si>
  <si>
    <t>range</t>
  </si>
  <si>
    <t>Q3</t>
  </si>
  <si>
    <t>Q1</t>
  </si>
  <si>
    <t>IQR</t>
  </si>
  <si>
    <t>fence</t>
  </si>
  <si>
    <t>upper fence</t>
  </si>
  <si>
    <t>lower fence</t>
  </si>
  <si>
    <t>Z min</t>
  </si>
  <si>
    <t>Z max</t>
  </si>
  <si>
    <t>Covariance</t>
  </si>
  <si>
    <t>Correlation coefficient</t>
  </si>
  <si>
    <t>Sharpe ratio</t>
  </si>
  <si>
    <t>One year T.bill</t>
  </si>
  <si>
    <t>One week T.bill</t>
  </si>
  <si>
    <t>Mitsubishi has more reward for per unit of risk according to sharpe ratio</t>
  </si>
  <si>
    <t>Comparison of risk (Variance)</t>
  </si>
  <si>
    <t>To determine whether Mitsubishi has higher volatility (risk) than Nestlé based on weekly returns based on variance</t>
  </si>
  <si>
    <t>H0:</t>
  </si>
  <si>
    <t>σ^2(M)​=σ^2(N)​</t>
  </si>
  <si>
    <t>HA:</t>
  </si>
  <si>
    <t>σ^2(M) &gt;​σ^2(N)​</t>
  </si>
  <si>
    <t>Variance, S</t>
  </si>
  <si>
    <t>n</t>
  </si>
  <si>
    <t>df1</t>
  </si>
  <si>
    <t>df2</t>
  </si>
  <si>
    <t>F(df1, df2)</t>
  </si>
  <si>
    <t>S(M)/S(N)</t>
  </si>
  <si>
    <t>F(52, 52)</t>
  </si>
  <si>
    <t xml:space="preserve">P </t>
  </si>
  <si>
    <t>--&gt;</t>
  </si>
  <si>
    <t>Reject H0 at 5% significane level</t>
  </si>
  <si>
    <t>Therefore, Mitsubishi is statistically more volatile than Nestle</t>
  </si>
  <si>
    <t>return</t>
  </si>
  <si>
    <t>S&amp;P 500 weekly return</t>
  </si>
  <si>
    <t>Excess Nestle(R-Rf)</t>
  </si>
  <si>
    <t>Excess Mitsub.(R-Rf)</t>
  </si>
  <si>
    <t>Excess S&amp;P 500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</si>
  <si>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</si>
  <si>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</si>
  <si>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</si>
  <si>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</si>
  <si>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</si>
  <si>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</si>
  <si>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</si>
  <si>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</si>
  <si>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</si>
  <si>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</si>
  <si>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</si>
  <si>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</si>
  <si>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</si>
  <si>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</si>
  <si>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</si>
  <si>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</si>
  <si>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</si>
  <si>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</si>
  <si>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</si>
  <si>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</si>
  <si>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</si>
  <si>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</si>
  <si>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</si>
  <si>
    <t>Y-пересечение</t>
  </si>
  <si>
    <t>Переменная X 1</t>
  </si>
  <si>
    <t>Model is statistically significant and 40% of the variation in Mitsubishi's excess returns is explained by market excess 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</si>
</sst>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 d, yyyy"/>
    <numFmt numFmtId="165" formatCode="mmmm d, yyyy"/>
    <numFmt numFmtId="166" formatCode="dd/MM/yyyy"/>
    <numFmt numFmtId="167" formatCode="0.00000"/>
    <numFmt numFmtId="168" formatCode="0.000"/>
    <numFmt numFmtId="169" formatCode="#,##0.00000000000"/>
  </numFmts>
  <fonts count="13">
    <font>
      <sz val="10.0"/>
      <color rgb="FF000000"/>
      <name val="Arial"/>
      <scheme val="minor"/>
    </font>
    <font>
      <sz val="9.0"/>
      <color rgb="FF232A31"/>
      <name val="&quot;GT America&quot;"/>
    </font>
    <font>
      <sz val="11.0"/>
      <color rgb="FF232A31"/>
      <name val="&quot;GT America&quot;"/>
    </font>
    <font>
      <b/>
      <sz val="11.0"/>
      <color rgb="FF232A31"/>
      <name val="&quot;GT America&quot;"/>
    </font>
    <font>
      <sz val="9.0"/>
      <color rgb="FF232A31"/>
      <name val="Arial"/>
    </font>
    <font>
      <color theme="1"/>
      <name val="Arial"/>
      <scheme val="minor"/>
    </font>
    <font>
      <sz val="11.0"/>
      <color rgb="FF232A31"/>
      <name val="Arial"/>
    </font>
    <font>
      <b/>
      <color theme="1"/>
      <name val="Arial"/>
      <scheme val="minor"/>
    </font>
    <font>
      <sz val="9.0"/>
      <color rgb="FF000000"/>
      <name val="&quot;GT America&quot;"/>
    </font>
    <font>
      <sz val="11.0"/>
      <color rgb="FF000000"/>
      <name val="&quot;GT America&quot;"/>
    </font>
    <font>
      <sz val="11.0"/>
      <color rgb="FF000000"/>
      <name val="Calibri"/>
    </font>
    <font>
      <i/>
      <sz val="11.0"/>
      <color rgb="FF000000"/>
      <name val="Calibri"/>
    </font>
    <font/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DDE0E4"/>
        <bgColor rgb="FFDDE0E4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3" fontId="2" numFmtId="164" xfId="0" applyAlignment="1" applyFill="1" applyFont="1" applyNumberFormat="1">
      <alignment horizontal="left" readingOrder="0" shrinkToFit="0" wrapText="0"/>
    </xf>
    <xf borderId="0" fillId="3" fontId="2" numFmtId="0" xfId="0" applyAlignment="1" applyFont="1">
      <alignment horizontal="right" readingOrder="0" shrinkToFit="0" wrapText="0"/>
    </xf>
    <xf borderId="0" fillId="3" fontId="2" numFmtId="3" xfId="0" applyAlignment="1" applyFont="1" applyNumberFormat="1">
      <alignment horizontal="right" readingOrder="0" shrinkToFit="0" wrapText="0"/>
    </xf>
    <xf borderId="0" fillId="2" fontId="2" numFmtId="164" xfId="0" applyAlignment="1" applyFont="1" applyNumberFormat="1">
      <alignment horizontal="left" readingOrder="0" shrinkToFit="0" wrapText="0"/>
    </xf>
    <xf borderId="0" fillId="2" fontId="2" numFmtId="0" xfId="0" applyAlignment="1" applyFont="1">
      <alignment horizontal="right" readingOrder="0" shrinkToFit="0" wrapText="0"/>
    </xf>
    <xf borderId="0" fillId="2" fontId="2" numFmtId="3" xfId="0" applyAlignment="1" applyFont="1" applyNumberFormat="1">
      <alignment horizontal="right" readingOrder="0" shrinkToFit="0" wrapText="0"/>
    </xf>
    <xf borderId="0" fillId="4" fontId="2" numFmtId="164" xfId="0" applyAlignment="1" applyFill="1" applyFont="1" applyNumberFormat="1">
      <alignment horizontal="left" readingOrder="0" shrinkToFit="0" wrapText="0"/>
    </xf>
    <xf borderId="0" fillId="4" fontId="2" numFmtId="0" xfId="0" applyAlignment="1" applyFont="1">
      <alignment horizontal="right" readingOrder="0" shrinkToFit="0" wrapText="0"/>
    </xf>
    <xf borderId="0" fillId="4" fontId="2" numFmtId="3" xfId="0" applyAlignment="1" applyFont="1" applyNumberFormat="1">
      <alignment horizontal="right" readingOrder="0" shrinkToFit="0" wrapText="0"/>
    </xf>
    <xf borderId="0" fillId="2" fontId="2" numFmtId="165" xfId="0" applyAlignment="1" applyFont="1" applyNumberFormat="1">
      <alignment horizontal="left" readingOrder="0" shrinkToFit="0" wrapText="0"/>
    </xf>
    <xf borderId="0" fillId="3" fontId="2" numFmtId="165" xfId="0" applyAlignment="1" applyFont="1" applyNumberFormat="1">
      <alignment horizontal="left" readingOrder="0" shrinkToFit="0" wrapText="0"/>
    </xf>
    <xf borderId="0" fillId="3" fontId="3" numFmtId="0" xfId="0" applyAlignment="1" applyFont="1">
      <alignment horizontal="center" readingOrder="0" shrinkToFit="0" wrapText="0"/>
    </xf>
    <xf borderId="0" fillId="2" fontId="3" numFmtId="0" xfId="0" applyAlignment="1" applyFont="1">
      <alignment horizontal="center" readingOrder="0" shrinkToFit="0" wrapText="0"/>
    </xf>
    <xf borderId="0" fillId="2" fontId="1" numFmtId="166" xfId="0" applyAlignment="1" applyFont="1" applyNumberFormat="1">
      <alignment horizontal="left" readingOrder="0" shrinkToFit="0" wrapText="0"/>
    </xf>
    <xf borderId="0" fillId="2" fontId="1" numFmtId="0" xfId="0" applyAlignment="1" applyFont="1">
      <alignment readingOrder="0"/>
    </xf>
    <xf borderId="0" fillId="2" fontId="4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2" fontId="2" numFmtId="166" xfId="0" applyAlignment="1" applyFont="1" applyNumberFormat="1">
      <alignment horizontal="left" readingOrder="0" shrinkToFit="0" wrapText="0"/>
    </xf>
    <xf borderId="0" fillId="0" fontId="5" numFmtId="10" xfId="0" applyFont="1" applyNumberFormat="1"/>
    <xf borderId="0" fillId="2" fontId="2" numFmtId="2" xfId="0" applyAlignment="1" applyFont="1" applyNumberFormat="1">
      <alignment horizontal="right" readingOrder="0" shrinkToFit="0" wrapText="0"/>
    </xf>
    <xf borderId="0" fillId="2" fontId="6" numFmtId="0" xfId="0" applyAlignment="1" applyFont="1">
      <alignment horizontal="right" readingOrder="0" shrinkToFit="0" wrapText="0"/>
    </xf>
    <xf borderId="0" fillId="0" fontId="5" numFmtId="166" xfId="0" applyFont="1" applyNumberFormat="1"/>
    <xf borderId="1" fillId="6" fontId="1" numFmtId="166" xfId="0" applyAlignment="1" applyBorder="1" applyFill="1" applyFont="1" applyNumberFormat="1">
      <alignment horizontal="left" readingOrder="0" shrinkToFit="0" wrapText="0"/>
    </xf>
    <xf borderId="1" fillId="5" fontId="4" numFmtId="10" xfId="0" applyAlignment="1" applyBorder="1" applyFont="1" applyNumberFormat="1">
      <alignment readingOrder="0"/>
    </xf>
    <xf borderId="1" fillId="7" fontId="4" numFmtId="10" xfId="0" applyAlignment="1" applyBorder="1" applyFill="1" applyFont="1" applyNumberFormat="1">
      <alignment readingOrder="0"/>
    </xf>
    <xf borderId="1" fillId="5" fontId="5" numFmtId="0" xfId="0" applyAlignment="1" applyBorder="1" applyFont="1">
      <alignment readingOrder="0"/>
    </xf>
    <xf borderId="1" fillId="7" fontId="5" numFmtId="0" xfId="0" applyAlignment="1" applyBorder="1" applyFont="1">
      <alignment readingOrder="0"/>
    </xf>
    <xf borderId="1" fillId="2" fontId="2" numFmtId="166" xfId="0" applyAlignment="1" applyBorder="1" applyFont="1" applyNumberFormat="1">
      <alignment horizontal="left" readingOrder="0" shrinkToFit="0" wrapText="0"/>
    </xf>
    <xf borderId="1" fillId="0" fontId="7" numFmtId="0" xfId="0" applyAlignment="1" applyBorder="1" applyFont="1">
      <alignment readingOrder="0"/>
    </xf>
    <xf borderId="0" fillId="0" fontId="5" numFmtId="4" xfId="0" applyFont="1" applyNumberFormat="1"/>
    <xf borderId="1" fillId="0" fontId="5" numFmtId="10" xfId="0" applyBorder="1" applyFont="1" applyNumberFormat="1"/>
    <xf borderId="1" fillId="0" fontId="5" numFmtId="166" xfId="0" applyBorder="1" applyFont="1" applyNumberFormat="1"/>
    <xf borderId="0" fillId="2" fontId="4" numFmtId="10" xfId="0" applyAlignment="1" applyFont="1" applyNumberFormat="1">
      <alignment readingOrder="0"/>
    </xf>
    <xf borderId="0" fillId="6" fontId="7" numFmtId="0" xfId="0" applyAlignment="1" applyFont="1">
      <alignment readingOrder="0" shrinkToFit="0" wrapText="0"/>
    </xf>
    <xf borderId="0" fillId="0" fontId="5" numFmtId="167" xfId="0" applyFont="1" applyNumberFormat="1"/>
    <xf borderId="0" fillId="6" fontId="5" numFmtId="0" xfId="0" applyAlignment="1" applyFont="1">
      <alignment shrinkToFit="0" wrapText="0"/>
    </xf>
    <xf borderId="0" fillId="0" fontId="5" numFmtId="168" xfId="0" applyFont="1" applyNumberFormat="1"/>
    <xf borderId="0" fillId="6" fontId="1" numFmtId="166" xfId="0" applyAlignment="1" applyFont="1" applyNumberFormat="1">
      <alignment horizontal="left" readingOrder="0" shrinkToFit="0" wrapText="0"/>
    </xf>
    <xf borderId="2" fillId="5" fontId="4" numFmtId="10" xfId="0" applyAlignment="1" applyBorder="1" applyFont="1" applyNumberFormat="1">
      <alignment readingOrder="0"/>
    </xf>
    <xf borderId="1" fillId="6" fontId="5" numFmtId="0" xfId="0" applyAlignment="1" applyBorder="1" applyFont="1">
      <alignment readingOrder="0"/>
    </xf>
    <xf borderId="0" fillId="8" fontId="5" numFmtId="4" xfId="0" applyFill="1" applyFont="1" applyNumberFormat="1"/>
    <xf borderId="0" fillId="9" fontId="5" numFmtId="0" xfId="0" applyAlignment="1" applyFill="1" applyFont="1">
      <alignment readingOrder="0"/>
    </xf>
    <xf borderId="0" fillId="0" fontId="5" numFmtId="10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10" fontId="5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10" fontId="5" numFmtId="168" xfId="0" applyFont="1" applyNumberFormat="1"/>
    <xf borderId="0" fillId="2" fontId="8" numFmtId="0" xfId="0" applyAlignment="1" applyFont="1">
      <alignment horizontal="left" readingOrder="0" shrinkToFit="0" wrapText="0"/>
    </xf>
    <xf borderId="0" fillId="2" fontId="8" numFmtId="0" xfId="0" applyAlignment="1" applyFont="1">
      <alignment horizontal="right" readingOrder="0" shrinkToFit="0" wrapText="0"/>
    </xf>
    <xf borderId="0" fillId="2" fontId="9" numFmtId="166" xfId="0" applyAlignment="1" applyFont="1" applyNumberFormat="1">
      <alignment horizontal="left" readingOrder="0" shrinkToFit="0" wrapText="0"/>
    </xf>
    <xf borderId="0" fillId="2" fontId="9" numFmtId="4" xfId="0" applyAlignment="1" applyFont="1" applyNumberFormat="1">
      <alignment horizontal="right" readingOrder="0" shrinkToFit="0" wrapText="0"/>
    </xf>
    <xf borderId="0" fillId="2" fontId="9" numFmtId="3" xfId="0" applyAlignment="1" applyFont="1" applyNumberFormat="1">
      <alignment horizontal="right" readingOrder="0" shrinkToFit="0" wrapText="0"/>
    </xf>
    <xf borderId="0" fillId="0" fontId="5" numFmtId="0" xfId="0" applyFont="1"/>
    <xf borderId="0" fillId="2" fontId="5" numFmtId="0" xfId="0" applyFont="1"/>
    <xf borderId="1" fillId="6" fontId="8" numFmtId="0" xfId="0" applyAlignment="1" applyBorder="1" applyFont="1">
      <alignment horizontal="left" readingOrder="0" shrinkToFit="0" wrapText="0"/>
    </xf>
    <xf borderId="1" fillId="11" fontId="5" numFmtId="10" xfId="0" applyAlignment="1" applyBorder="1" applyFill="1" applyFont="1" applyNumberFormat="1">
      <alignment readingOrder="0"/>
    </xf>
    <xf borderId="0" fillId="7" fontId="5" numFmtId="0" xfId="0" applyAlignment="1" applyFont="1">
      <alignment readingOrder="0"/>
    </xf>
    <xf borderId="0" fillId="11" fontId="5" numFmtId="0" xfId="0" applyAlignment="1" applyFont="1">
      <alignment readingOrder="0"/>
    </xf>
    <xf borderId="1" fillId="11" fontId="5" numFmtId="0" xfId="0" applyAlignment="1" applyBorder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10" numFmtId="169" xfId="0" applyAlignment="1" applyFont="1" applyNumberFormat="1">
      <alignment readingOrder="0" shrinkToFit="0" vertical="bottom" wrapText="0"/>
    </xf>
    <xf borderId="0" fillId="0" fontId="10" numFmtId="169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3" fillId="0" fontId="11" numFmtId="169" xfId="0" applyAlignment="1" applyBorder="1" applyFont="1" applyNumberFormat="1">
      <alignment horizontal="center" readingOrder="0" shrinkToFit="0" vertical="bottom" wrapText="0"/>
    </xf>
    <xf borderId="3" fillId="0" fontId="12" numFmtId="0" xfId="0" applyBorder="1" applyFont="1"/>
    <xf borderId="4" fillId="0" fontId="10" numFmtId="169" xfId="0" applyAlignment="1" applyBorder="1" applyFont="1" applyNumberFormat="1">
      <alignment readingOrder="0" shrinkToFit="0" vertical="bottom" wrapText="0"/>
    </xf>
    <xf borderId="4" fillId="0" fontId="10" numFmtId="169" xfId="0" applyAlignment="1" applyBorder="1" applyFont="1" applyNumberFormat="1">
      <alignment horizontal="right" readingOrder="0" shrinkToFit="0" vertical="bottom" wrapText="0"/>
    </xf>
    <xf borderId="3" fillId="0" fontId="11" numFmtId="169" xfId="0" applyAlignment="1" applyBorder="1" applyFont="1" applyNumberFormat="1">
      <alignment horizontal="center" shrinkToFit="0" vertical="bottom" wrapText="0"/>
    </xf>
    <xf borderId="0" fillId="0" fontId="10" numFmtId="169" xfId="0" applyAlignment="1" applyFont="1" applyNumberFormat="1">
      <alignment horizontal="right" readingOrder="0" shrinkToFit="0" vertical="bottom" wrapText="0"/>
    </xf>
    <xf borderId="4" fillId="0" fontId="12" numFmtId="0" xfId="0" applyBorder="1" applyFont="1"/>
    <xf borderId="4" fillId="0" fontId="10" numFmtId="169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3" fillId="0" fontId="11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horizontal="right" readingOrder="0" shrinkToFit="0" vertical="bottom" wrapText="0"/>
    </xf>
    <xf borderId="3" fillId="0" fontId="11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11" xfId="0" applyAlignment="1" applyFont="1" applyNumberFormat="1">
      <alignment readingOrder="0" shrinkToFit="0" vertical="bottom" wrapText="0"/>
    </xf>
    <xf borderId="4" fillId="0" fontId="10" numFmtId="0" xfId="0" applyAlignment="1" applyBorder="1" applyFont="1">
      <alignment shrinkToFit="0" vertical="bottom" wrapText="0"/>
    </xf>
    <xf borderId="4" fillId="0" fontId="10" numFmtId="11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Mitsub. weekly return vs Nestlé S.A. weekly return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'covariance &amp; correlation 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'covariance &amp; correlation '!$B$2:$B$54</c:f>
            </c:numRef>
          </c:xVal>
          <c:yVal>
            <c:numRef>
              <c:f>'covariance &amp; correlation '!$C$2:$C$54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026000"/>
        <c:axId val="1441650049"/>
      </c:scatterChart>
      <c:valAx>
        <c:axId val="11030260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Nestle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650049"/>
      </c:valAx>
      <c:valAx>
        <c:axId val="1441650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Mitsubishi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026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Excess S&amp;P 500 vs Excess Mitsub.(R-Rf)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'CAPM Regression Mitsub.'!$C$1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'CAPM Regression Mitsub.'!$B$2:$B$53</c:f>
            </c:numRef>
          </c:xVal>
          <c:yVal>
            <c:numRef>
              <c:f>'CAPM Regression Mitsub.'!$C$2:$C$53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700520"/>
        <c:axId val="401394760"/>
      </c:scatterChart>
      <c:valAx>
        <c:axId val="8927005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Excess Mitsub.(R-Rf)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394760"/>
      </c:valAx>
      <c:valAx>
        <c:axId val="401394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Excess S&amp;P 500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7005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923925</xdr:colOff>
      <xdr:row>3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18</xdr:row>
      <xdr:rowOff>123825</xdr:rowOff>
    </xdr:from>
    <xdr:ext cx="6629400" cy="4429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46057.0</v>
      </c>
      <c r="B2" s="4">
        <v>76.49</v>
      </c>
      <c r="C2" s="4">
        <v>78.17</v>
      </c>
      <c r="D2" s="4">
        <v>76.05</v>
      </c>
      <c r="E2" s="4">
        <v>78.09</v>
      </c>
      <c r="F2" s="4">
        <v>78.09</v>
      </c>
      <c r="G2" s="5">
        <v>4504328.0</v>
      </c>
    </row>
    <row r="3">
      <c r="A3" s="6">
        <v>46055.0</v>
      </c>
      <c r="B3" s="7">
        <v>73.9</v>
      </c>
      <c r="C3" s="7">
        <v>78.17</v>
      </c>
      <c r="D3" s="7">
        <v>73.86</v>
      </c>
      <c r="E3" s="7">
        <v>78.09</v>
      </c>
      <c r="F3" s="7">
        <v>78.09</v>
      </c>
      <c r="G3" s="8">
        <v>1.1825054E7</v>
      </c>
    </row>
    <row r="4">
      <c r="A4" s="3">
        <v>46048.0</v>
      </c>
      <c r="B4" s="4">
        <v>72.4</v>
      </c>
      <c r="C4" s="4">
        <v>74.06</v>
      </c>
      <c r="D4" s="4">
        <v>70.29</v>
      </c>
      <c r="E4" s="4">
        <v>73.43</v>
      </c>
      <c r="F4" s="4">
        <v>73.43</v>
      </c>
      <c r="G4" s="5">
        <v>2.0378703E7</v>
      </c>
    </row>
    <row r="5">
      <c r="A5" s="6">
        <v>46041.0</v>
      </c>
      <c r="B5" s="7">
        <v>75.2</v>
      </c>
      <c r="C5" s="7">
        <v>75.3</v>
      </c>
      <c r="D5" s="7">
        <v>71.96</v>
      </c>
      <c r="E5" s="7">
        <v>72.47</v>
      </c>
      <c r="F5" s="7">
        <v>72.47</v>
      </c>
      <c r="G5" s="8">
        <v>2.0317271E7</v>
      </c>
    </row>
    <row r="6">
      <c r="A6" s="9">
        <v>46034.0</v>
      </c>
      <c r="B6" s="10">
        <v>75.49</v>
      </c>
      <c r="C6" s="10">
        <v>76.93</v>
      </c>
      <c r="D6" s="10">
        <v>74.47</v>
      </c>
      <c r="E6" s="10">
        <v>75.24</v>
      </c>
      <c r="F6" s="10">
        <v>75.24</v>
      </c>
      <c r="G6" s="11">
        <v>1.9745973E7</v>
      </c>
    </row>
    <row r="7">
      <c r="A7" s="6">
        <v>46027.0</v>
      </c>
      <c r="B7" s="7">
        <v>78.22</v>
      </c>
      <c r="C7" s="7">
        <v>78.3</v>
      </c>
      <c r="D7" s="7">
        <v>73.67</v>
      </c>
      <c r="E7" s="7">
        <v>75.41</v>
      </c>
      <c r="F7" s="7">
        <v>75.41</v>
      </c>
      <c r="G7" s="8">
        <v>2.4619696E7</v>
      </c>
    </row>
    <row r="8">
      <c r="A8" s="3">
        <v>46020.0</v>
      </c>
      <c r="B8" s="4">
        <v>78.0</v>
      </c>
      <c r="C8" s="4">
        <v>78.84</v>
      </c>
      <c r="D8" s="4">
        <v>77.85</v>
      </c>
      <c r="E8" s="4">
        <v>78.74</v>
      </c>
      <c r="F8" s="4">
        <v>78.74</v>
      </c>
      <c r="G8" s="5">
        <v>5161541.0</v>
      </c>
    </row>
    <row r="9">
      <c r="A9" s="6">
        <v>46013.0</v>
      </c>
      <c r="B9" s="7">
        <v>78.57</v>
      </c>
      <c r="C9" s="7">
        <v>78.69</v>
      </c>
      <c r="D9" s="7">
        <v>77.74</v>
      </c>
      <c r="E9" s="7">
        <v>77.83</v>
      </c>
      <c r="F9" s="7">
        <v>77.83</v>
      </c>
      <c r="G9" s="8">
        <v>4270782.0</v>
      </c>
    </row>
    <row r="10">
      <c r="A10" s="3">
        <v>46006.0</v>
      </c>
      <c r="B10" s="4">
        <v>78.27</v>
      </c>
      <c r="C10" s="4">
        <v>80.3</v>
      </c>
      <c r="D10" s="4">
        <v>77.98</v>
      </c>
      <c r="E10" s="4">
        <v>78.79</v>
      </c>
      <c r="F10" s="4">
        <v>78.79</v>
      </c>
      <c r="G10" s="5">
        <v>2.4022337E7</v>
      </c>
    </row>
    <row r="11">
      <c r="A11" s="6">
        <v>45999.0</v>
      </c>
      <c r="B11" s="7">
        <v>78.48</v>
      </c>
      <c r="C11" s="7">
        <v>79.22</v>
      </c>
      <c r="D11" s="7">
        <v>77.26</v>
      </c>
      <c r="E11" s="7">
        <v>77.95</v>
      </c>
      <c r="F11" s="7">
        <v>77.95</v>
      </c>
      <c r="G11" s="8">
        <v>1.655105E7</v>
      </c>
    </row>
    <row r="12">
      <c r="A12" s="3">
        <v>45992.0</v>
      </c>
      <c r="B12" s="4">
        <v>79.83</v>
      </c>
      <c r="C12" s="4">
        <v>80.58</v>
      </c>
      <c r="D12" s="4">
        <v>78.0</v>
      </c>
      <c r="E12" s="4">
        <v>78.82</v>
      </c>
      <c r="F12" s="4">
        <v>78.82</v>
      </c>
      <c r="G12" s="5">
        <v>1.4506501E7</v>
      </c>
    </row>
    <row r="13">
      <c r="A13" s="6">
        <v>45985.0</v>
      </c>
      <c r="B13" s="7">
        <v>80.84</v>
      </c>
      <c r="C13" s="7">
        <v>81.37</v>
      </c>
      <c r="D13" s="7">
        <v>78.81</v>
      </c>
      <c r="E13" s="7">
        <v>79.83</v>
      </c>
      <c r="F13" s="7">
        <v>79.83</v>
      </c>
      <c r="G13" s="8">
        <v>2.1313808E7</v>
      </c>
    </row>
    <row r="14">
      <c r="A14" s="3">
        <v>45978.0</v>
      </c>
      <c r="B14" s="4">
        <v>80.51</v>
      </c>
      <c r="C14" s="4">
        <v>81.29</v>
      </c>
      <c r="D14" s="4">
        <v>78.85</v>
      </c>
      <c r="E14" s="4">
        <v>80.77</v>
      </c>
      <c r="F14" s="4">
        <v>80.77</v>
      </c>
      <c r="G14" s="5">
        <v>1.4587617E7</v>
      </c>
    </row>
    <row r="15">
      <c r="A15" s="6">
        <v>45971.0</v>
      </c>
      <c r="B15" s="7">
        <v>79.31</v>
      </c>
      <c r="C15" s="7">
        <v>82.02</v>
      </c>
      <c r="D15" s="7">
        <v>78.78</v>
      </c>
      <c r="E15" s="7">
        <v>80.31</v>
      </c>
      <c r="F15" s="7">
        <v>80.31</v>
      </c>
      <c r="G15" s="8">
        <v>1.3847424E7</v>
      </c>
    </row>
    <row r="16">
      <c r="A16" s="3">
        <v>45964.0</v>
      </c>
      <c r="B16" s="4">
        <v>77.4</v>
      </c>
      <c r="C16" s="4">
        <v>79.44</v>
      </c>
      <c r="D16" s="4">
        <v>77.05</v>
      </c>
      <c r="E16" s="4">
        <v>79.12</v>
      </c>
      <c r="F16" s="4">
        <v>79.12</v>
      </c>
      <c r="G16" s="5">
        <v>1.2592213E7</v>
      </c>
    </row>
    <row r="17">
      <c r="A17" s="6">
        <v>45957.0</v>
      </c>
      <c r="B17" s="7">
        <v>79.92</v>
      </c>
      <c r="C17" s="7">
        <v>80.48</v>
      </c>
      <c r="D17" s="7">
        <v>76.31</v>
      </c>
      <c r="E17" s="7">
        <v>76.88</v>
      </c>
      <c r="F17" s="7">
        <v>76.88</v>
      </c>
      <c r="G17" s="8">
        <v>1.6935209E7</v>
      </c>
    </row>
    <row r="18">
      <c r="A18" s="3">
        <v>45950.0</v>
      </c>
      <c r="B18" s="4">
        <v>84.15</v>
      </c>
      <c r="C18" s="4">
        <v>85.06</v>
      </c>
      <c r="D18" s="4">
        <v>79.92</v>
      </c>
      <c r="E18" s="4">
        <v>80.11</v>
      </c>
      <c r="F18" s="4">
        <v>80.11</v>
      </c>
      <c r="G18" s="5">
        <v>1.9874705E7</v>
      </c>
    </row>
    <row r="19">
      <c r="A19" s="6">
        <v>45943.0</v>
      </c>
      <c r="B19" s="7">
        <v>75.92</v>
      </c>
      <c r="C19" s="7">
        <v>85.03</v>
      </c>
      <c r="D19" s="7">
        <v>74.76</v>
      </c>
      <c r="E19" s="7">
        <v>84.83</v>
      </c>
      <c r="F19" s="7">
        <v>84.83</v>
      </c>
      <c r="G19" s="8">
        <v>3.2847035E7</v>
      </c>
    </row>
    <row r="20">
      <c r="A20" s="3">
        <v>45936.0</v>
      </c>
      <c r="B20" s="4">
        <v>74.08</v>
      </c>
      <c r="C20" s="4">
        <v>76.0</v>
      </c>
      <c r="D20" s="4">
        <v>73.67</v>
      </c>
      <c r="E20" s="4">
        <v>75.61</v>
      </c>
      <c r="F20" s="4">
        <v>75.61</v>
      </c>
      <c r="G20" s="5">
        <v>1.6859324E7</v>
      </c>
    </row>
    <row r="21">
      <c r="A21" s="6">
        <v>45929.0</v>
      </c>
      <c r="B21" s="7">
        <v>71.13</v>
      </c>
      <c r="C21" s="7">
        <v>74.74</v>
      </c>
      <c r="D21" s="7">
        <v>70.96</v>
      </c>
      <c r="E21" s="7">
        <v>74.2</v>
      </c>
      <c r="F21" s="7">
        <v>74.2</v>
      </c>
      <c r="G21" s="8">
        <v>1.8223011E7</v>
      </c>
    </row>
    <row r="22">
      <c r="A22" s="3">
        <v>45922.0</v>
      </c>
      <c r="B22" s="4">
        <v>72.2</v>
      </c>
      <c r="C22" s="4">
        <v>72.51</v>
      </c>
      <c r="D22" s="4">
        <v>70.88</v>
      </c>
      <c r="E22" s="4">
        <v>71.14</v>
      </c>
      <c r="F22" s="4">
        <v>71.14</v>
      </c>
      <c r="G22" s="5">
        <v>1.6885591E7</v>
      </c>
    </row>
    <row r="23">
      <c r="A23" s="6">
        <v>45915.0</v>
      </c>
      <c r="B23" s="7">
        <v>73.0</v>
      </c>
      <c r="C23" s="7">
        <v>73.16</v>
      </c>
      <c r="D23" s="7">
        <v>71.04</v>
      </c>
      <c r="E23" s="7">
        <v>72.42</v>
      </c>
      <c r="F23" s="7">
        <v>72.42</v>
      </c>
      <c r="G23" s="8">
        <v>2.4535809E7</v>
      </c>
    </row>
    <row r="24">
      <c r="A24" s="3">
        <v>45908.0</v>
      </c>
      <c r="B24" s="4">
        <v>75.15</v>
      </c>
      <c r="C24" s="4">
        <v>75.26</v>
      </c>
      <c r="D24" s="4">
        <v>72.98</v>
      </c>
      <c r="E24" s="4">
        <v>72.98</v>
      </c>
      <c r="F24" s="4">
        <v>72.98</v>
      </c>
      <c r="G24" s="5">
        <v>1.5201594E7</v>
      </c>
    </row>
    <row r="25">
      <c r="A25" s="6">
        <v>45901.0</v>
      </c>
      <c r="B25" s="7">
        <v>75.38</v>
      </c>
      <c r="C25" s="7">
        <v>76.42</v>
      </c>
      <c r="D25" s="7">
        <v>72.78</v>
      </c>
      <c r="E25" s="7">
        <v>75.41</v>
      </c>
      <c r="F25" s="7">
        <v>75.41</v>
      </c>
      <c r="G25" s="8">
        <v>1.9821445E7</v>
      </c>
    </row>
    <row r="26">
      <c r="A26" s="3">
        <v>45894.0</v>
      </c>
      <c r="B26" s="4">
        <v>75.33</v>
      </c>
      <c r="C26" s="4">
        <v>75.68</v>
      </c>
      <c r="D26" s="4">
        <v>74.15</v>
      </c>
      <c r="E26" s="4">
        <v>75.39</v>
      </c>
      <c r="F26" s="4">
        <v>75.39</v>
      </c>
      <c r="G26" s="5">
        <v>1.9107694E7</v>
      </c>
    </row>
    <row r="27">
      <c r="A27" s="6">
        <v>45887.0</v>
      </c>
      <c r="B27" s="7">
        <v>72.4</v>
      </c>
      <c r="C27" s="7">
        <v>76.16</v>
      </c>
      <c r="D27" s="7">
        <v>71.94</v>
      </c>
      <c r="E27" s="7">
        <v>75.36</v>
      </c>
      <c r="F27" s="7">
        <v>75.36</v>
      </c>
      <c r="G27" s="8">
        <v>1.494661E7</v>
      </c>
    </row>
    <row r="28">
      <c r="A28" s="3">
        <v>45880.0</v>
      </c>
      <c r="B28" s="4">
        <v>72.42</v>
      </c>
      <c r="C28" s="4">
        <v>72.63</v>
      </c>
      <c r="D28" s="4">
        <v>71.38</v>
      </c>
      <c r="E28" s="4">
        <v>72.34</v>
      </c>
      <c r="F28" s="4">
        <v>72.34</v>
      </c>
      <c r="G28" s="5">
        <v>1.1007131E7</v>
      </c>
    </row>
    <row r="29">
      <c r="A29" s="6">
        <v>45873.0</v>
      </c>
      <c r="B29" s="7">
        <v>70.42</v>
      </c>
      <c r="C29" s="7">
        <v>72.8</v>
      </c>
      <c r="D29" s="7">
        <v>69.9</v>
      </c>
      <c r="E29" s="7">
        <v>72.1</v>
      </c>
      <c r="F29" s="7">
        <v>72.1</v>
      </c>
      <c r="G29" s="8">
        <v>1.8455952E7</v>
      </c>
    </row>
    <row r="30">
      <c r="A30" s="3">
        <v>45866.0</v>
      </c>
      <c r="B30" s="4">
        <v>73.32</v>
      </c>
      <c r="C30" s="4">
        <v>73.63</v>
      </c>
      <c r="D30" s="4">
        <v>70.62</v>
      </c>
      <c r="E30" s="4">
        <v>71.1</v>
      </c>
      <c r="F30" s="4">
        <v>71.1</v>
      </c>
      <c r="G30" s="5">
        <v>1.6542784E7</v>
      </c>
    </row>
    <row r="31">
      <c r="A31" s="6">
        <v>45859.0</v>
      </c>
      <c r="B31" s="7">
        <v>77.15</v>
      </c>
      <c r="C31" s="7">
        <v>78.27</v>
      </c>
      <c r="D31" s="7">
        <v>72.32</v>
      </c>
      <c r="E31" s="7">
        <v>73.32</v>
      </c>
      <c r="F31" s="7">
        <v>73.32</v>
      </c>
      <c r="G31" s="8">
        <v>2.4996334E7</v>
      </c>
    </row>
    <row r="32">
      <c r="A32" s="3">
        <v>45852.0</v>
      </c>
      <c r="B32" s="4">
        <v>76.91</v>
      </c>
      <c r="C32" s="4">
        <v>77.81</v>
      </c>
      <c r="D32" s="4">
        <v>76.46</v>
      </c>
      <c r="E32" s="4">
        <v>77.72</v>
      </c>
      <c r="F32" s="4">
        <v>77.72</v>
      </c>
      <c r="G32" s="5">
        <v>1.2812683E7</v>
      </c>
    </row>
    <row r="33">
      <c r="A33" s="6">
        <v>45845.0</v>
      </c>
      <c r="B33" s="7">
        <v>79.47</v>
      </c>
      <c r="C33" s="7">
        <v>79.47</v>
      </c>
      <c r="D33" s="7">
        <v>76.75</v>
      </c>
      <c r="E33" s="7">
        <v>76.99</v>
      </c>
      <c r="F33" s="7">
        <v>76.99</v>
      </c>
      <c r="G33" s="8">
        <v>1.5948916E7</v>
      </c>
    </row>
    <row r="34">
      <c r="A34" s="3">
        <v>45838.0</v>
      </c>
      <c r="B34" s="4">
        <v>79.8</v>
      </c>
      <c r="C34" s="4">
        <v>80.15</v>
      </c>
      <c r="D34" s="4">
        <v>78.0</v>
      </c>
      <c r="E34" s="4">
        <v>79.27</v>
      </c>
      <c r="F34" s="4">
        <v>79.27</v>
      </c>
      <c r="G34" s="5">
        <v>1.5395979E7</v>
      </c>
    </row>
    <row r="35">
      <c r="A35" s="6">
        <v>45831.0</v>
      </c>
      <c r="B35" s="7">
        <v>81.0</v>
      </c>
      <c r="C35" s="7">
        <v>82.33</v>
      </c>
      <c r="D35" s="7">
        <v>78.99</v>
      </c>
      <c r="E35" s="7">
        <v>79.29</v>
      </c>
      <c r="F35" s="7">
        <v>79.29</v>
      </c>
      <c r="G35" s="8">
        <v>1.7917066E7</v>
      </c>
    </row>
    <row r="36">
      <c r="A36" s="3">
        <v>45824.0</v>
      </c>
      <c r="B36" s="4">
        <v>84.0</v>
      </c>
      <c r="C36" s="4">
        <v>84.1</v>
      </c>
      <c r="D36" s="4">
        <v>81.54</v>
      </c>
      <c r="E36" s="4">
        <v>81.54</v>
      </c>
      <c r="F36" s="4">
        <v>81.54</v>
      </c>
      <c r="G36" s="5">
        <v>2.7380438E7</v>
      </c>
    </row>
    <row r="37">
      <c r="A37" s="6">
        <v>45817.0</v>
      </c>
      <c r="B37" s="7">
        <v>86.7</v>
      </c>
      <c r="C37" s="7">
        <v>87.24</v>
      </c>
      <c r="D37" s="7">
        <v>84.25</v>
      </c>
      <c r="E37" s="7">
        <v>84.25</v>
      </c>
      <c r="F37" s="7">
        <v>84.25</v>
      </c>
      <c r="G37" s="8">
        <v>1.1624869E7</v>
      </c>
    </row>
    <row r="38">
      <c r="A38" s="3">
        <v>45810.0</v>
      </c>
      <c r="B38" s="4">
        <v>87.44</v>
      </c>
      <c r="C38" s="4">
        <v>87.7</v>
      </c>
      <c r="D38" s="4">
        <v>86.43</v>
      </c>
      <c r="E38" s="4">
        <v>86.7</v>
      </c>
      <c r="F38" s="4">
        <v>86.7</v>
      </c>
      <c r="G38" s="5">
        <v>1.1322557E7</v>
      </c>
    </row>
    <row r="39">
      <c r="A39" s="12">
        <v>45803.0</v>
      </c>
      <c r="B39" s="7">
        <v>88.78</v>
      </c>
      <c r="C39" s="7">
        <v>89.43</v>
      </c>
      <c r="D39" s="7">
        <v>87.01</v>
      </c>
      <c r="E39" s="7">
        <v>87.7</v>
      </c>
      <c r="F39" s="7">
        <v>87.7</v>
      </c>
      <c r="G39" s="8">
        <v>1.3145807E7</v>
      </c>
    </row>
    <row r="40">
      <c r="A40" s="13">
        <v>45796.0</v>
      </c>
      <c r="B40" s="4">
        <v>86.96</v>
      </c>
      <c r="C40" s="4">
        <v>88.91</v>
      </c>
      <c r="D40" s="4">
        <v>86.41</v>
      </c>
      <c r="E40" s="4">
        <v>88.52</v>
      </c>
      <c r="F40" s="4">
        <v>88.52</v>
      </c>
      <c r="G40" s="5">
        <v>1.551388E7</v>
      </c>
    </row>
    <row r="41">
      <c r="A41" s="12">
        <v>45789.0</v>
      </c>
      <c r="B41" s="7">
        <v>87.87</v>
      </c>
      <c r="C41" s="7">
        <v>88.25</v>
      </c>
      <c r="D41" s="7">
        <v>84.88</v>
      </c>
      <c r="E41" s="7">
        <v>86.48</v>
      </c>
      <c r="F41" s="7">
        <v>86.48</v>
      </c>
      <c r="G41" s="8">
        <v>1.7635747E7</v>
      </c>
    </row>
    <row r="42">
      <c r="A42" s="13">
        <v>45782.0</v>
      </c>
      <c r="B42" s="4">
        <v>87.79</v>
      </c>
      <c r="C42" s="4">
        <v>89.07</v>
      </c>
      <c r="D42" s="4">
        <v>87.05</v>
      </c>
      <c r="E42" s="4">
        <v>87.65</v>
      </c>
      <c r="F42" s="4">
        <v>87.65</v>
      </c>
      <c r="G42" s="5">
        <v>1.186777E7</v>
      </c>
    </row>
    <row r="43">
      <c r="A43" s="6">
        <v>45775.0</v>
      </c>
      <c r="B43" s="7">
        <v>85.7</v>
      </c>
      <c r="C43" s="7">
        <v>88.29</v>
      </c>
      <c r="D43" s="7">
        <v>85.64</v>
      </c>
      <c r="E43" s="7">
        <v>87.6</v>
      </c>
      <c r="F43" s="7">
        <v>87.6</v>
      </c>
      <c r="G43" s="8">
        <v>1.585852E7</v>
      </c>
    </row>
    <row r="44">
      <c r="A44" s="3">
        <v>45769.0</v>
      </c>
      <c r="B44" s="14" t="s">
        <v>7</v>
      </c>
      <c r="C44" s="14"/>
      <c r="D44" s="14"/>
      <c r="E44" s="14"/>
      <c r="F44" s="4">
        <v>82.3386875725901</v>
      </c>
      <c r="G44" s="14"/>
    </row>
    <row r="45">
      <c r="A45" s="6">
        <v>45768.0</v>
      </c>
      <c r="B45" s="7">
        <v>86.89</v>
      </c>
      <c r="C45" s="7">
        <v>87.79</v>
      </c>
      <c r="D45" s="7">
        <v>85.58</v>
      </c>
      <c r="E45" s="7">
        <v>85.74</v>
      </c>
      <c r="F45" s="7">
        <v>82.5230008373174</v>
      </c>
      <c r="G45" s="8">
        <v>1.8209124E7</v>
      </c>
    </row>
    <row r="46">
      <c r="A46" s="3">
        <v>45761.0</v>
      </c>
      <c r="B46" s="4">
        <v>85.98</v>
      </c>
      <c r="C46" s="4">
        <v>87.98</v>
      </c>
      <c r="D46" s="4">
        <v>85.18</v>
      </c>
      <c r="E46" s="4">
        <v>87.98</v>
      </c>
      <c r="F46" s="4">
        <v>82.7073141020447</v>
      </c>
      <c r="G46" s="5">
        <v>1.9177851E7</v>
      </c>
    </row>
    <row r="47">
      <c r="A47" s="6">
        <v>45754.0</v>
      </c>
      <c r="B47" s="7">
        <v>83.62</v>
      </c>
      <c r="C47" s="7">
        <v>86.43</v>
      </c>
      <c r="D47" s="7">
        <v>81.6</v>
      </c>
      <c r="E47" s="7">
        <v>84.98</v>
      </c>
      <c r="F47" s="7">
        <v>82.8916273667721</v>
      </c>
      <c r="G47" s="8">
        <v>4.3351546E7</v>
      </c>
    </row>
    <row r="48">
      <c r="A48" s="3">
        <v>45747.0</v>
      </c>
      <c r="B48" s="4">
        <v>89.74</v>
      </c>
      <c r="C48" s="4">
        <v>91.38</v>
      </c>
      <c r="D48" s="4">
        <v>87.3</v>
      </c>
      <c r="E48" s="4">
        <v>87.36</v>
      </c>
      <c r="F48" s="10">
        <v>83.0759406314994</v>
      </c>
      <c r="G48" s="5">
        <v>2.5882607E7</v>
      </c>
    </row>
    <row r="49">
      <c r="A49" s="6">
        <v>45740.0</v>
      </c>
      <c r="B49" s="7">
        <v>91.7</v>
      </c>
      <c r="C49" s="7">
        <v>91.72</v>
      </c>
      <c r="D49" s="7">
        <v>88.44</v>
      </c>
      <c r="E49" s="7">
        <v>90.24</v>
      </c>
      <c r="F49" s="7">
        <v>83.2602538962267</v>
      </c>
      <c r="G49" s="8">
        <v>1.8237045E7</v>
      </c>
    </row>
    <row r="50">
      <c r="A50" s="3">
        <v>45733.0</v>
      </c>
      <c r="B50" s="4">
        <v>89.36</v>
      </c>
      <c r="C50" s="4">
        <v>91.68</v>
      </c>
      <c r="D50" s="4">
        <v>88.88</v>
      </c>
      <c r="E50" s="4">
        <v>91.68</v>
      </c>
      <c r="F50" s="4">
        <v>83.4445671609541</v>
      </c>
      <c r="G50" s="5">
        <v>2.8834096E7</v>
      </c>
    </row>
    <row r="51">
      <c r="A51" s="6">
        <v>45726.0</v>
      </c>
      <c r="B51" s="7">
        <v>89.78</v>
      </c>
      <c r="C51" s="7">
        <v>91.02</v>
      </c>
      <c r="D51" s="7">
        <v>87.66</v>
      </c>
      <c r="E51" s="7">
        <v>89.18</v>
      </c>
      <c r="F51" s="7">
        <v>83.6288804256814</v>
      </c>
      <c r="G51" s="8">
        <v>2.0588185E7</v>
      </c>
    </row>
    <row r="52">
      <c r="A52" s="3">
        <v>45719.0</v>
      </c>
      <c r="B52" s="4">
        <v>87.12</v>
      </c>
      <c r="C52" s="4">
        <v>90.1</v>
      </c>
      <c r="D52" s="4">
        <v>86.42</v>
      </c>
      <c r="E52" s="4">
        <v>89.72</v>
      </c>
      <c r="F52" s="4">
        <v>83.8131936904088</v>
      </c>
      <c r="G52" s="5">
        <v>2.5814512E7</v>
      </c>
    </row>
    <row r="53">
      <c r="A53" s="6">
        <v>45712.0</v>
      </c>
      <c r="B53" s="7">
        <v>85.96</v>
      </c>
      <c r="C53" s="7">
        <v>89.38</v>
      </c>
      <c r="D53" s="7">
        <v>85.58</v>
      </c>
      <c r="E53" s="7">
        <v>87.12</v>
      </c>
      <c r="F53" s="7">
        <v>83.9975069551361</v>
      </c>
      <c r="G53" s="8">
        <v>3.0585478E7</v>
      </c>
    </row>
    <row r="54">
      <c r="A54" s="3">
        <v>45705.0</v>
      </c>
      <c r="B54" s="4">
        <v>82.64</v>
      </c>
      <c r="C54" s="4">
        <v>85.1</v>
      </c>
      <c r="D54" s="4">
        <v>81.62</v>
      </c>
      <c r="E54" s="4">
        <v>85.1</v>
      </c>
      <c r="F54" s="4">
        <v>84.1818202198634</v>
      </c>
      <c r="G54" s="5">
        <v>2.4679585E7</v>
      </c>
    </row>
    <row r="55">
      <c r="A55" s="6">
        <v>45698.0</v>
      </c>
      <c r="B55" s="7">
        <v>77.72</v>
      </c>
      <c r="C55" s="7">
        <v>84.02</v>
      </c>
      <c r="D55" s="7">
        <v>77.36</v>
      </c>
      <c r="E55" s="7">
        <v>82.48</v>
      </c>
      <c r="F55" s="7">
        <v>84.3661334845908</v>
      </c>
      <c r="G55" s="8">
        <v>2.6921613E7</v>
      </c>
    </row>
    <row r="56">
      <c r="A56" s="3">
        <v>45691.0</v>
      </c>
      <c r="B56" s="4">
        <v>77.16</v>
      </c>
      <c r="C56" s="4">
        <v>78.26</v>
      </c>
      <c r="D56" s="4">
        <v>76.68</v>
      </c>
      <c r="E56" s="4">
        <v>77.5</v>
      </c>
      <c r="F56" s="4">
        <v>74.81</v>
      </c>
      <c r="G56" s="5">
        <v>1.0694129E7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46057.0</v>
      </c>
      <c r="B2" s="4">
        <v>18.65</v>
      </c>
      <c r="C2" s="4">
        <v>18.89</v>
      </c>
      <c r="D2" s="4">
        <v>18.42</v>
      </c>
      <c r="E2" s="4">
        <v>18.55</v>
      </c>
      <c r="F2" s="4">
        <v>18.55</v>
      </c>
      <c r="G2" s="5">
        <v>3795565.0</v>
      </c>
    </row>
    <row r="3">
      <c r="A3" s="6">
        <v>46055.0</v>
      </c>
      <c r="B3" s="7">
        <v>17.81</v>
      </c>
      <c r="C3" s="7">
        <v>18.89</v>
      </c>
      <c r="D3" s="7">
        <v>17.81</v>
      </c>
      <c r="E3" s="7">
        <v>18.55</v>
      </c>
      <c r="F3" s="7">
        <v>18.55</v>
      </c>
      <c r="G3" s="8">
        <v>1.04406E7</v>
      </c>
    </row>
    <row r="4">
      <c r="A4" s="3">
        <v>46048.0</v>
      </c>
      <c r="B4" s="4">
        <v>17.8</v>
      </c>
      <c r="C4" s="4">
        <v>18.33</v>
      </c>
      <c r="D4" s="4">
        <v>17.75</v>
      </c>
      <c r="E4" s="4">
        <v>18.05</v>
      </c>
      <c r="F4" s="4">
        <v>18.05</v>
      </c>
      <c r="G4" s="5">
        <v>1.53412E7</v>
      </c>
    </row>
    <row r="5">
      <c r="A5" s="6">
        <v>46041.0</v>
      </c>
      <c r="B5" s="7">
        <v>18.29</v>
      </c>
      <c r="C5" s="7">
        <v>18.45</v>
      </c>
      <c r="D5" s="7">
        <v>17.77</v>
      </c>
      <c r="E5" s="7">
        <v>17.88</v>
      </c>
      <c r="F5" s="7">
        <v>17.88</v>
      </c>
      <c r="G5" s="8">
        <v>1.53113E7</v>
      </c>
    </row>
    <row r="6">
      <c r="A6" s="3">
        <v>46034.0</v>
      </c>
      <c r="B6" s="4">
        <v>17.2</v>
      </c>
      <c r="C6" s="4">
        <v>18.9</v>
      </c>
      <c r="D6" s="4">
        <v>17.16</v>
      </c>
      <c r="E6" s="4">
        <v>18.9</v>
      </c>
      <c r="F6" s="4">
        <v>18.9</v>
      </c>
      <c r="G6" s="5">
        <v>1.79896E7</v>
      </c>
    </row>
    <row r="7">
      <c r="A7" s="6">
        <v>46027.0</v>
      </c>
      <c r="B7" s="7">
        <v>16.18</v>
      </c>
      <c r="C7" s="7">
        <v>17.14</v>
      </c>
      <c r="D7" s="7">
        <v>16.12</v>
      </c>
      <c r="E7" s="7">
        <v>17.09</v>
      </c>
      <c r="F7" s="7">
        <v>17.09</v>
      </c>
      <c r="G7" s="8">
        <v>1.67072E7</v>
      </c>
    </row>
    <row r="8">
      <c r="A8" s="3">
        <v>46020.0</v>
      </c>
      <c r="B8" s="4">
        <v>15.85</v>
      </c>
      <c r="C8" s="4">
        <v>16.01</v>
      </c>
      <c r="D8" s="4">
        <v>15.75</v>
      </c>
      <c r="E8" s="4">
        <v>15.97</v>
      </c>
      <c r="F8" s="4">
        <v>15.97</v>
      </c>
      <c r="G8" s="5">
        <v>7038600.0</v>
      </c>
    </row>
    <row r="9">
      <c r="A9" s="6">
        <v>46013.0</v>
      </c>
      <c r="B9" s="7">
        <v>15.84</v>
      </c>
      <c r="C9" s="7">
        <v>16.18</v>
      </c>
      <c r="D9" s="7">
        <v>15.77</v>
      </c>
      <c r="E9" s="7">
        <v>15.89</v>
      </c>
      <c r="F9" s="7">
        <v>15.89</v>
      </c>
      <c r="G9" s="8">
        <v>7169100.0</v>
      </c>
    </row>
    <row r="10">
      <c r="A10" s="3">
        <v>46006.0</v>
      </c>
      <c r="B10" s="4">
        <v>16.48</v>
      </c>
      <c r="C10" s="4">
        <v>16.56</v>
      </c>
      <c r="D10" s="4">
        <v>15.52</v>
      </c>
      <c r="E10" s="4">
        <v>15.74</v>
      </c>
      <c r="F10" s="4">
        <v>15.74</v>
      </c>
      <c r="G10" s="5">
        <v>1.9736E7</v>
      </c>
    </row>
    <row r="11">
      <c r="A11" s="6">
        <v>45999.0</v>
      </c>
      <c r="B11" s="7">
        <v>16.14</v>
      </c>
      <c r="C11" s="7">
        <v>16.14</v>
      </c>
      <c r="D11" s="7">
        <v>15.37</v>
      </c>
      <c r="E11" s="7">
        <v>16.01</v>
      </c>
      <c r="F11" s="7">
        <v>16.01</v>
      </c>
      <c r="G11" s="8">
        <v>2.561E7</v>
      </c>
    </row>
    <row r="12">
      <c r="A12" s="3">
        <v>45992.0</v>
      </c>
      <c r="B12" s="4">
        <v>15.93</v>
      </c>
      <c r="C12" s="4">
        <v>16.39</v>
      </c>
      <c r="D12" s="4">
        <v>15.63</v>
      </c>
      <c r="E12" s="4">
        <v>16.28</v>
      </c>
      <c r="F12" s="4">
        <v>16.28</v>
      </c>
      <c r="G12" s="5">
        <v>3.1302E7</v>
      </c>
    </row>
    <row r="13">
      <c r="A13" s="6">
        <v>45985.0</v>
      </c>
      <c r="B13" s="7">
        <v>15.19</v>
      </c>
      <c r="C13" s="7">
        <v>15.87</v>
      </c>
      <c r="D13" s="7">
        <v>15.16</v>
      </c>
      <c r="E13" s="7">
        <v>15.78</v>
      </c>
      <c r="F13" s="7">
        <v>15.78</v>
      </c>
      <c r="G13" s="8">
        <v>9804700.0</v>
      </c>
    </row>
    <row r="14">
      <c r="A14" s="3">
        <v>45978.0</v>
      </c>
      <c r="B14" s="4">
        <v>15.51</v>
      </c>
      <c r="C14" s="4">
        <v>15.68</v>
      </c>
      <c r="D14" s="4">
        <v>14.88</v>
      </c>
      <c r="E14" s="4">
        <v>15.2</v>
      </c>
      <c r="F14" s="4">
        <v>15.2</v>
      </c>
      <c r="G14" s="5">
        <v>2.43259E7</v>
      </c>
    </row>
    <row r="15">
      <c r="A15" s="6">
        <v>45971.0</v>
      </c>
      <c r="B15" s="7">
        <v>15.18</v>
      </c>
      <c r="C15" s="7">
        <v>15.95</v>
      </c>
      <c r="D15" s="7">
        <v>15.08</v>
      </c>
      <c r="E15" s="7">
        <v>15.79</v>
      </c>
      <c r="F15" s="7">
        <v>15.79</v>
      </c>
      <c r="G15" s="8">
        <v>1.70074E7</v>
      </c>
    </row>
    <row r="16">
      <c r="A16" s="3">
        <v>45964.0</v>
      </c>
      <c r="B16" s="4">
        <v>15.11</v>
      </c>
      <c r="C16" s="4">
        <v>15.22</v>
      </c>
      <c r="D16" s="4">
        <v>14.88</v>
      </c>
      <c r="E16" s="4">
        <v>15.08</v>
      </c>
      <c r="F16" s="4">
        <v>15.08</v>
      </c>
      <c r="G16" s="5">
        <v>1.71481E7</v>
      </c>
    </row>
    <row r="17">
      <c r="A17" s="6">
        <v>45957.0</v>
      </c>
      <c r="B17" s="7">
        <v>14.91</v>
      </c>
      <c r="C17" s="7">
        <v>15.26</v>
      </c>
      <c r="D17" s="7">
        <v>14.86</v>
      </c>
      <c r="E17" s="7">
        <v>15.13</v>
      </c>
      <c r="F17" s="7">
        <v>15.13</v>
      </c>
      <c r="G17" s="8">
        <v>1.77352E7</v>
      </c>
    </row>
    <row r="18">
      <c r="A18" s="3">
        <v>45950.0</v>
      </c>
      <c r="B18" s="4">
        <v>15.45</v>
      </c>
      <c r="C18" s="4">
        <v>15.49</v>
      </c>
      <c r="D18" s="4">
        <v>14.72</v>
      </c>
      <c r="E18" s="4">
        <v>14.77</v>
      </c>
      <c r="F18" s="4">
        <v>14.77</v>
      </c>
      <c r="G18" s="5">
        <v>1.25249E7</v>
      </c>
    </row>
    <row r="19">
      <c r="A19" s="6">
        <v>45943.0</v>
      </c>
      <c r="B19" s="7">
        <v>14.85</v>
      </c>
      <c r="C19" s="7">
        <v>15.29</v>
      </c>
      <c r="D19" s="7">
        <v>14.72</v>
      </c>
      <c r="E19" s="7">
        <v>15.0</v>
      </c>
      <c r="F19" s="7">
        <v>15.0</v>
      </c>
      <c r="G19" s="8">
        <v>1.69115E7</v>
      </c>
    </row>
    <row r="20">
      <c r="A20" s="3">
        <v>45936.0</v>
      </c>
      <c r="B20" s="4">
        <v>15.52</v>
      </c>
      <c r="C20" s="4">
        <v>15.58</v>
      </c>
      <c r="D20" s="4">
        <v>14.62</v>
      </c>
      <c r="E20" s="4">
        <v>14.62</v>
      </c>
      <c r="F20" s="4">
        <v>14.62</v>
      </c>
      <c r="G20" s="5">
        <v>1.68612E7</v>
      </c>
    </row>
    <row r="21">
      <c r="A21" s="6">
        <v>45929.0</v>
      </c>
      <c r="B21" s="7">
        <v>15.92</v>
      </c>
      <c r="C21" s="7">
        <v>16.09</v>
      </c>
      <c r="D21" s="7">
        <v>15.33</v>
      </c>
      <c r="E21" s="7">
        <v>15.76</v>
      </c>
      <c r="F21" s="7">
        <v>15.76</v>
      </c>
      <c r="G21" s="8">
        <v>1.6017E7</v>
      </c>
    </row>
    <row r="22">
      <c r="A22" s="3">
        <v>45922.0</v>
      </c>
      <c r="B22" s="4">
        <v>15.96</v>
      </c>
      <c r="C22" s="4">
        <v>16.24</v>
      </c>
      <c r="D22" s="4">
        <v>15.8</v>
      </c>
      <c r="E22" s="4">
        <v>16.04</v>
      </c>
      <c r="F22" s="4">
        <v>16.04</v>
      </c>
      <c r="G22" s="5">
        <v>9312100.0</v>
      </c>
    </row>
    <row r="23">
      <c r="A23" s="6">
        <v>45915.0</v>
      </c>
      <c r="B23" s="7">
        <v>15.67</v>
      </c>
      <c r="C23" s="7">
        <v>15.9</v>
      </c>
      <c r="D23" s="7">
        <v>15.46</v>
      </c>
      <c r="E23" s="7">
        <v>15.85</v>
      </c>
      <c r="F23" s="7">
        <v>15.85</v>
      </c>
      <c r="G23" s="8">
        <v>1.51073E7</v>
      </c>
    </row>
    <row r="24">
      <c r="A24" s="3">
        <v>45908.0</v>
      </c>
      <c r="B24" s="4">
        <v>15.45</v>
      </c>
      <c r="C24" s="4">
        <v>15.88</v>
      </c>
      <c r="D24" s="4">
        <v>15.37</v>
      </c>
      <c r="E24" s="4">
        <v>15.57</v>
      </c>
      <c r="F24" s="4">
        <v>15.57</v>
      </c>
      <c r="G24" s="5">
        <v>1.92595E7</v>
      </c>
    </row>
    <row r="25">
      <c r="A25" s="6">
        <v>45901.0</v>
      </c>
      <c r="B25" s="7">
        <v>15.15</v>
      </c>
      <c r="C25" s="7">
        <v>15.5</v>
      </c>
      <c r="D25" s="7">
        <v>14.86</v>
      </c>
      <c r="E25" s="7">
        <v>15.27</v>
      </c>
      <c r="F25" s="7">
        <v>15.27</v>
      </c>
      <c r="G25" s="8">
        <v>1.71789E7</v>
      </c>
    </row>
    <row r="26">
      <c r="A26" s="3">
        <v>45894.0</v>
      </c>
      <c r="B26" s="4">
        <v>15.5</v>
      </c>
      <c r="C26" s="4">
        <v>15.57</v>
      </c>
      <c r="D26" s="4">
        <v>15.16</v>
      </c>
      <c r="E26" s="4">
        <v>15.29</v>
      </c>
      <c r="F26" s="4">
        <v>15.29</v>
      </c>
      <c r="G26" s="5">
        <v>1.48514E7</v>
      </c>
    </row>
    <row r="27">
      <c r="A27" s="6">
        <v>45887.0</v>
      </c>
      <c r="B27" s="7">
        <v>15.61</v>
      </c>
      <c r="C27" s="7">
        <v>15.72</v>
      </c>
      <c r="D27" s="7">
        <v>15.19</v>
      </c>
      <c r="E27" s="7">
        <v>15.6</v>
      </c>
      <c r="F27" s="7">
        <v>15.6</v>
      </c>
      <c r="G27" s="8">
        <v>1.64579E7</v>
      </c>
    </row>
    <row r="28">
      <c r="A28" s="3">
        <v>45880.0</v>
      </c>
      <c r="B28" s="4">
        <v>14.56</v>
      </c>
      <c r="C28" s="4">
        <v>16.16</v>
      </c>
      <c r="D28" s="4">
        <v>14.48</v>
      </c>
      <c r="E28" s="4">
        <v>15.9</v>
      </c>
      <c r="F28" s="4">
        <v>15.9</v>
      </c>
      <c r="G28" s="5">
        <v>1.72633E7</v>
      </c>
    </row>
    <row r="29">
      <c r="A29" s="6">
        <v>45873.0</v>
      </c>
      <c r="B29" s="7">
        <v>13.89</v>
      </c>
      <c r="C29" s="7">
        <v>14.56</v>
      </c>
      <c r="D29" s="7">
        <v>13.62</v>
      </c>
      <c r="E29" s="7">
        <v>14.56</v>
      </c>
      <c r="F29" s="7">
        <v>14.56</v>
      </c>
      <c r="G29" s="8">
        <v>1.46027E7</v>
      </c>
    </row>
    <row r="30">
      <c r="A30" s="3">
        <v>45866.0</v>
      </c>
      <c r="B30" s="4">
        <v>14.2</v>
      </c>
      <c r="C30" s="4">
        <v>14.3</v>
      </c>
      <c r="D30" s="4">
        <v>13.84</v>
      </c>
      <c r="E30" s="4">
        <v>13.92</v>
      </c>
      <c r="F30" s="4">
        <v>13.92</v>
      </c>
      <c r="G30" s="5">
        <v>2.36468E7</v>
      </c>
    </row>
    <row r="31">
      <c r="A31" s="6">
        <v>45859.0</v>
      </c>
      <c r="B31" s="7">
        <v>13.4</v>
      </c>
      <c r="C31" s="7">
        <v>14.87</v>
      </c>
      <c r="D31" s="7">
        <v>13.35</v>
      </c>
      <c r="E31" s="7">
        <v>14.67</v>
      </c>
      <c r="F31" s="7">
        <v>14.67</v>
      </c>
      <c r="G31" s="8">
        <v>2.03087E7</v>
      </c>
    </row>
    <row r="32">
      <c r="A32" s="3">
        <v>45852.0</v>
      </c>
      <c r="B32" s="4">
        <v>13.6</v>
      </c>
      <c r="C32" s="4">
        <v>13.68</v>
      </c>
      <c r="D32" s="4">
        <v>13.19</v>
      </c>
      <c r="E32" s="4">
        <v>13.29</v>
      </c>
      <c r="F32" s="4">
        <v>13.29</v>
      </c>
      <c r="G32" s="5">
        <v>1.65785E7</v>
      </c>
    </row>
    <row r="33">
      <c r="A33" s="6">
        <v>45845.0</v>
      </c>
      <c r="B33" s="7">
        <v>13.62</v>
      </c>
      <c r="C33" s="7">
        <v>13.7</v>
      </c>
      <c r="D33" s="7">
        <v>13.45</v>
      </c>
      <c r="E33" s="7">
        <v>13.69</v>
      </c>
      <c r="F33" s="7">
        <v>13.69</v>
      </c>
      <c r="G33" s="8">
        <v>1.78209E7</v>
      </c>
    </row>
    <row r="34">
      <c r="A34" s="3">
        <v>45838.0</v>
      </c>
      <c r="B34" s="4">
        <v>13.76</v>
      </c>
      <c r="C34" s="4">
        <v>13.96</v>
      </c>
      <c r="D34" s="4">
        <v>13.65</v>
      </c>
      <c r="E34" s="4">
        <v>13.96</v>
      </c>
      <c r="F34" s="4">
        <v>13.96</v>
      </c>
      <c r="G34" s="5">
        <v>1.74314E7</v>
      </c>
    </row>
    <row r="35">
      <c r="A35" s="6">
        <v>45831.0</v>
      </c>
      <c r="B35" s="7">
        <v>13.24</v>
      </c>
      <c r="C35" s="7">
        <v>13.95</v>
      </c>
      <c r="D35" s="7">
        <v>13.23</v>
      </c>
      <c r="E35" s="7">
        <v>13.89</v>
      </c>
      <c r="F35" s="7">
        <v>13.89</v>
      </c>
      <c r="G35" s="8">
        <v>1.70285E7</v>
      </c>
    </row>
    <row r="36">
      <c r="A36" s="3">
        <v>45824.0</v>
      </c>
      <c r="B36" s="4">
        <v>13.69</v>
      </c>
      <c r="C36" s="4">
        <v>13.82</v>
      </c>
      <c r="D36" s="4">
        <v>13.36</v>
      </c>
      <c r="E36" s="4">
        <v>13.51</v>
      </c>
      <c r="F36" s="4">
        <v>13.51</v>
      </c>
      <c r="G36" s="5">
        <v>1.66634E7</v>
      </c>
    </row>
    <row r="37">
      <c r="A37" s="6">
        <v>45817.0</v>
      </c>
      <c r="B37" s="7">
        <v>13.85</v>
      </c>
      <c r="C37" s="7">
        <v>13.87</v>
      </c>
      <c r="D37" s="7">
        <v>13.42</v>
      </c>
      <c r="E37" s="7">
        <v>13.61</v>
      </c>
      <c r="F37" s="7">
        <v>13.61</v>
      </c>
      <c r="G37" s="8">
        <v>1.75609E7</v>
      </c>
    </row>
    <row r="38">
      <c r="A38" s="3">
        <v>45810.0</v>
      </c>
      <c r="B38" s="4">
        <v>13.98</v>
      </c>
      <c r="C38" s="4">
        <v>14.06</v>
      </c>
      <c r="D38" s="4">
        <v>13.7</v>
      </c>
      <c r="E38" s="4">
        <v>13.84</v>
      </c>
      <c r="F38" s="4">
        <v>13.84</v>
      </c>
      <c r="G38" s="5">
        <v>2.51869E7</v>
      </c>
    </row>
    <row r="39">
      <c r="A39" s="12">
        <v>45803.0</v>
      </c>
      <c r="B39" s="7">
        <v>13.88</v>
      </c>
      <c r="C39" s="7">
        <v>14.2</v>
      </c>
      <c r="D39" s="7">
        <v>13.62</v>
      </c>
      <c r="E39" s="7">
        <v>14.12</v>
      </c>
      <c r="F39" s="7">
        <v>14.12</v>
      </c>
      <c r="G39" s="8">
        <v>3.07589E7</v>
      </c>
    </row>
    <row r="40">
      <c r="A40" s="13">
        <v>45796.0</v>
      </c>
      <c r="B40" s="4">
        <v>13.62</v>
      </c>
      <c r="C40" s="4">
        <v>13.91</v>
      </c>
      <c r="D40" s="4">
        <v>13.34</v>
      </c>
      <c r="E40" s="4">
        <v>13.54</v>
      </c>
      <c r="F40" s="4">
        <v>13.54</v>
      </c>
      <c r="G40" s="5">
        <v>3.78515E7</v>
      </c>
    </row>
    <row r="41">
      <c r="A41" s="12">
        <v>45789.0</v>
      </c>
      <c r="B41" s="7">
        <v>12.75</v>
      </c>
      <c r="C41" s="7">
        <v>13.57</v>
      </c>
      <c r="D41" s="7">
        <v>12.75</v>
      </c>
      <c r="E41" s="7">
        <v>13.54</v>
      </c>
      <c r="F41" s="7">
        <v>13.54</v>
      </c>
      <c r="G41" s="8">
        <v>4.06033E7</v>
      </c>
    </row>
    <row r="42">
      <c r="A42" s="13">
        <v>45782.0</v>
      </c>
      <c r="B42" s="4">
        <v>12.34</v>
      </c>
      <c r="C42" s="4">
        <v>12.58</v>
      </c>
      <c r="D42" s="4">
        <v>12.24</v>
      </c>
      <c r="E42" s="4">
        <v>12.53</v>
      </c>
      <c r="F42" s="4">
        <v>12.53</v>
      </c>
      <c r="G42" s="5">
        <v>1.97741E7</v>
      </c>
    </row>
    <row r="43">
      <c r="A43" s="6">
        <v>45775.0</v>
      </c>
      <c r="B43" s="7">
        <v>12.47</v>
      </c>
      <c r="C43" s="7">
        <v>12.76</v>
      </c>
      <c r="D43" s="7">
        <v>12.1</v>
      </c>
      <c r="E43" s="7">
        <v>12.3</v>
      </c>
      <c r="F43" s="7">
        <v>12.3</v>
      </c>
      <c r="G43" s="8">
        <v>2.8349E7</v>
      </c>
    </row>
    <row r="44">
      <c r="A44" s="3">
        <v>45768.0</v>
      </c>
      <c r="B44" s="4">
        <v>11.76</v>
      </c>
      <c r="C44" s="4">
        <v>12.29</v>
      </c>
      <c r="D44" s="4">
        <v>11.58</v>
      </c>
      <c r="E44" s="4">
        <v>12.27</v>
      </c>
      <c r="F44" s="4">
        <v>12.27</v>
      </c>
      <c r="G44" s="5">
        <v>3.04983E7</v>
      </c>
    </row>
    <row r="45">
      <c r="A45" s="6">
        <v>45761.0</v>
      </c>
      <c r="B45" s="7">
        <v>11.61</v>
      </c>
      <c r="C45" s="7">
        <v>12.04</v>
      </c>
      <c r="D45" s="7">
        <v>11.5</v>
      </c>
      <c r="E45" s="7">
        <v>11.87</v>
      </c>
      <c r="F45" s="7">
        <v>11.87</v>
      </c>
      <c r="G45" s="8">
        <v>2.47954E7</v>
      </c>
    </row>
    <row r="46">
      <c r="A46" s="3">
        <v>45754.0</v>
      </c>
      <c r="B46" s="4">
        <v>10.59</v>
      </c>
      <c r="C46" s="4">
        <v>11.96</v>
      </c>
      <c r="D46" s="4">
        <v>10.46</v>
      </c>
      <c r="E46" s="4">
        <v>11.59</v>
      </c>
      <c r="F46" s="4">
        <v>11.59</v>
      </c>
      <c r="G46" s="5">
        <v>7.51783E7</v>
      </c>
    </row>
    <row r="47">
      <c r="A47" s="6">
        <v>45747.0</v>
      </c>
      <c r="B47" s="15" t="s">
        <v>8</v>
      </c>
    </row>
    <row r="48">
      <c r="A48" s="3">
        <v>45747.0</v>
      </c>
      <c r="B48" s="4">
        <v>13.5</v>
      </c>
      <c r="C48" s="4">
        <v>13.66</v>
      </c>
      <c r="D48" s="4">
        <v>10.88</v>
      </c>
      <c r="E48" s="4">
        <v>11.06</v>
      </c>
      <c r="F48" s="4">
        <v>10.85</v>
      </c>
      <c r="G48" s="5">
        <v>6.36918E7</v>
      </c>
    </row>
    <row r="49">
      <c r="A49" s="6">
        <v>45740.0</v>
      </c>
      <c r="B49" s="7">
        <v>14.73</v>
      </c>
      <c r="C49" s="7">
        <v>14.76</v>
      </c>
      <c r="D49" s="7">
        <v>13.96</v>
      </c>
      <c r="E49" s="7">
        <v>13.98</v>
      </c>
      <c r="F49" s="7">
        <v>13.71</v>
      </c>
      <c r="G49" s="8">
        <v>4.91127E7</v>
      </c>
    </row>
    <row r="50">
      <c r="A50" s="3">
        <v>45733.0</v>
      </c>
      <c r="B50" s="4">
        <v>13.74</v>
      </c>
      <c r="C50" s="4">
        <v>15.03</v>
      </c>
      <c r="D50" s="4">
        <v>13.73</v>
      </c>
      <c r="E50" s="4">
        <v>14.98</v>
      </c>
      <c r="F50" s="4">
        <v>14.69</v>
      </c>
      <c r="G50" s="5">
        <v>1.368139E8</v>
      </c>
    </row>
    <row r="51">
      <c r="A51" s="6">
        <v>45726.0</v>
      </c>
      <c r="B51" s="7">
        <v>12.93</v>
      </c>
      <c r="C51" s="7">
        <v>13.71</v>
      </c>
      <c r="D51" s="7">
        <v>12.57</v>
      </c>
      <c r="E51" s="7">
        <v>13.66</v>
      </c>
      <c r="F51" s="7">
        <v>13.4</v>
      </c>
      <c r="G51" s="8">
        <v>3.71187E7</v>
      </c>
    </row>
    <row r="52">
      <c r="A52" s="3">
        <v>45719.0</v>
      </c>
      <c r="B52" s="4">
        <v>12.96</v>
      </c>
      <c r="C52" s="4">
        <v>13.11</v>
      </c>
      <c r="D52" s="4">
        <v>12.47</v>
      </c>
      <c r="E52" s="4">
        <v>13.02</v>
      </c>
      <c r="F52" s="4">
        <v>12.77</v>
      </c>
      <c r="G52" s="5">
        <v>2.57233E7</v>
      </c>
    </row>
    <row r="53">
      <c r="A53" s="6">
        <v>45712.0</v>
      </c>
      <c r="B53" s="7">
        <v>12.68</v>
      </c>
      <c r="C53" s="7">
        <v>13.08</v>
      </c>
      <c r="D53" s="7">
        <v>12.4</v>
      </c>
      <c r="E53" s="7">
        <v>12.73</v>
      </c>
      <c r="F53" s="7">
        <v>12.49</v>
      </c>
      <c r="G53" s="8">
        <v>2.30849E7</v>
      </c>
    </row>
    <row r="54">
      <c r="A54" s="3">
        <v>45705.0</v>
      </c>
      <c r="B54" s="4">
        <v>13.23</v>
      </c>
      <c r="C54" s="4">
        <v>13.34</v>
      </c>
      <c r="D54" s="4">
        <v>12.64</v>
      </c>
      <c r="E54" s="4">
        <v>12.64</v>
      </c>
      <c r="F54" s="4">
        <v>12.4</v>
      </c>
      <c r="G54" s="5">
        <v>1.18183E7</v>
      </c>
    </row>
    <row r="55">
      <c r="A55" s="6">
        <v>45698.0</v>
      </c>
      <c r="B55" s="7">
        <v>12.49</v>
      </c>
      <c r="C55" s="7">
        <v>12.86</v>
      </c>
      <c r="D55" s="7">
        <v>12.31</v>
      </c>
      <c r="E55" s="7">
        <v>12.81</v>
      </c>
      <c r="F55" s="7">
        <v>12.56</v>
      </c>
      <c r="G55" s="8">
        <v>1.30485E7</v>
      </c>
    </row>
    <row r="56">
      <c r="A56" s="9">
        <v>45691.0</v>
      </c>
      <c r="B56" s="10">
        <v>12.6</v>
      </c>
      <c r="C56" s="10">
        <v>12.7</v>
      </c>
      <c r="D56" s="10">
        <v>12.5</v>
      </c>
      <c r="E56" s="10">
        <v>12.54</v>
      </c>
      <c r="F56" s="10">
        <v>12.3</v>
      </c>
      <c r="G56" s="11">
        <v>9385600.0</v>
      </c>
    </row>
  </sheetData>
  <mergeCells count="1">
    <mergeCell ref="B47:G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75"/>
    <col customWidth="1" min="4" max="4" width="18.0"/>
    <col customWidth="1" min="5" max="5" width="15.38"/>
  </cols>
  <sheetData>
    <row r="1">
      <c r="A1" s="16" t="s">
        <v>0</v>
      </c>
      <c r="B1" s="17" t="s">
        <v>9</v>
      </c>
      <c r="C1" s="18" t="s">
        <v>10</v>
      </c>
      <c r="D1" s="19" t="s">
        <v>11</v>
      </c>
      <c r="E1" s="19" t="s">
        <v>12</v>
      </c>
      <c r="F1" s="18"/>
    </row>
    <row r="2">
      <c r="A2" s="20">
        <v>46057.0</v>
      </c>
      <c r="B2" s="7">
        <f>VLOOKUP(A2,'Nestle S.A.'!A1:G56,6,0)</f>
        <v>78.09</v>
      </c>
      <c r="C2" s="7">
        <f>vlookup(A2,Mitsubishi!A2:G56,6,0)</f>
        <v>18.55</v>
      </c>
      <c r="D2" s="21">
        <f t="shared" ref="D2:E2" si="1">B2/B3-1</f>
        <v>0</v>
      </c>
      <c r="E2" s="21">
        <f t="shared" si="1"/>
        <v>0</v>
      </c>
    </row>
    <row r="3">
      <c r="A3" s="20">
        <v>46055.0</v>
      </c>
      <c r="B3" s="7">
        <f>VLOOKUP(A3,'Nestle S.A.'!A2:G57,6,0)</f>
        <v>78.09</v>
      </c>
      <c r="C3" s="7">
        <f>vlookup(A3,Mitsubishi!A3:G57,6,0)</f>
        <v>18.55</v>
      </c>
      <c r="D3" s="21">
        <f t="shared" ref="D3:E3" si="2">B3/B4-1</f>
        <v>0.06346180035</v>
      </c>
      <c r="E3" s="21">
        <f t="shared" si="2"/>
        <v>0.02770083102</v>
      </c>
    </row>
    <row r="4">
      <c r="A4" s="20">
        <v>46048.0</v>
      </c>
      <c r="B4" s="7">
        <f>VLOOKUP(A4,'Nestle S.A.'!A3:G58,6,0)</f>
        <v>73.43</v>
      </c>
      <c r="C4" s="7">
        <f>vlookup(A4,Mitsubishi!A4:G58,6,0)</f>
        <v>18.05</v>
      </c>
      <c r="D4" s="21">
        <f t="shared" ref="D4:E4" si="3">B4/B5-1</f>
        <v>0.01324686077</v>
      </c>
      <c r="E4" s="21">
        <f t="shared" si="3"/>
        <v>0.009507829978</v>
      </c>
    </row>
    <row r="5">
      <c r="A5" s="20">
        <v>46041.0</v>
      </c>
      <c r="B5" s="7">
        <f>VLOOKUP(A5,'Nestle S.A.'!A4:G59,6,0)</f>
        <v>72.47</v>
      </c>
      <c r="C5" s="7">
        <f>vlookup(A5,Mitsubishi!A5:G59,6,0)</f>
        <v>17.88</v>
      </c>
      <c r="D5" s="21">
        <f t="shared" ref="D5:E5" si="4">B5/B6-1</f>
        <v>-0.03681552366</v>
      </c>
      <c r="E5" s="21">
        <f t="shared" si="4"/>
        <v>-0.05396825397</v>
      </c>
    </row>
    <row r="6">
      <c r="A6" s="20">
        <v>46034.0</v>
      </c>
      <c r="B6" s="7">
        <f>VLOOKUP(A6,'Nestle S.A.'!A5:G60,6,0)</f>
        <v>75.24</v>
      </c>
      <c r="C6" s="7">
        <f>vlookup(A6,Mitsubishi!A6:G60,6,0)</f>
        <v>18.9</v>
      </c>
      <c r="D6" s="21">
        <f t="shared" ref="D6:E6" si="5">B6/B7-1</f>
        <v>-0.002254342925</v>
      </c>
      <c r="E6" s="21">
        <f t="shared" si="5"/>
        <v>0.1059098888</v>
      </c>
    </row>
    <row r="7">
      <c r="A7" s="20">
        <v>46027.0</v>
      </c>
      <c r="B7" s="7">
        <f>VLOOKUP(A7,'Nestle S.A.'!A6:G61,6,0)</f>
        <v>75.41</v>
      </c>
      <c r="C7" s="7">
        <f>vlookup(A7,Mitsubishi!A7:G61,6,0)</f>
        <v>17.09</v>
      </c>
      <c r="D7" s="21">
        <f t="shared" ref="D7:E7" si="6">B7/B8-1</f>
        <v>-0.04229108458</v>
      </c>
      <c r="E7" s="21">
        <f t="shared" si="6"/>
        <v>0.07013149656</v>
      </c>
    </row>
    <row r="8">
      <c r="A8" s="20">
        <v>46020.0</v>
      </c>
      <c r="B8" s="7">
        <f>VLOOKUP(A8,'Nestle S.A.'!A7:G62,6,0)</f>
        <v>78.74</v>
      </c>
      <c r="C8" s="7">
        <f>vlookup(A8,Mitsubishi!A8:G62,6,0)</f>
        <v>15.97</v>
      </c>
      <c r="D8" s="21">
        <f t="shared" ref="D8:E8" si="7">B8/B9-1</f>
        <v>0.01169214956</v>
      </c>
      <c r="E8" s="21">
        <f t="shared" si="7"/>
        <v>0.005034612964</v>
      </c>
    </row>
    <row r="9">
      <c r="A9" s="20">
        <v>46013.0</v>
      </c>
      <c r="B9" s="7">
        <f>VLOOKUP(A9,'Nestle S.A.'!A8:G63,6,0)</f>
        <v>77.83</v>
      </c>
      <c r="C9" s="7">
        <f>vlookup(A9,Mitsubishi!A9:G63,6,0)</f>
        <v>15.89</v>
      </c>
      <c r="D9" s="21">
        <f t="shared" ref="D9:E9" si="8">B9/B10-1</f>
        <v>-0.01218428735</v>
      </c>
      <c r="E9" s="21">
        <f t="shared" si="8"/>
        <v>0.009529860229</v>
      </c>
    </row>
    <row r="10">
      <c r="A10" s="20">
        <v>46006.0</v>
      </c>
      <c r="B10" s="7">
        <f>VLOOKUP(A10,'Nestle S.A.'!A9:G64,6,0)</f>
        <v>78.79</v>
      </c>
      <c r="C10" s="7">
        <f>vlookup(A10,Mitsubishi!A10:G64,6,0)</f>
        <v>15.74</v>
      </c>
      <c r="D10" s="21">
        <f t="shared" ref="D10:E10" si="9">B10/B11-1</f>
        <v>0.01077613855</v>
      </c>
      <c r="E10" s="21">
        <f t="shared" si="9"/>
        <v>-0.01686445971</v>
      </c>
    </row>
    <row r="11">
      <c r="A11" s="20">
        <v>45999.0</v>
      </c>
      <c r="B11" s="7">
        <f>VLOOKUP(A11,'Nestle S.A.'!A10:G65,6,0)</f>
        <v>77.95</v>
      </c>
      <c r="C11" s="7">
        <f>vlookup(A11,Mitsubishi!A11:G65,6,0)</f>
        <v>16.01</v>
      </c>
      <c r="D11" s="21">
        <f t="shared" ref="D11:E11" si="10">B11/B12-1</f>
        <v>-0.01103780766</v>
      </c>
      <c r="E11" s="21">
        <f t="shared" si="10"/>
        <v>-0.01658476658</v>
      </c>
    </row>
    <row r="12">
      <c r="A12" s="20">
        <v>45992.0</v>
      </c>
      <c r="B12" s="7">
        <f>VLOOKUP(A12,'Nestle S.A.'!A11:G66,6,0)</f>
        <v>78.82</v>
      </c>
      <c r="C12" s="7">
        <f>vlookup(A12,Mitsubishi!A12:G66,6,0)</f>
        <v>16.28</v>
      </c>
      <c r="D12" s="21">
        <f t="shared" ref="D12:E12" si="11">B12/B13-1</f>
        <v>-0.01265188526</v>
      </c>
      <c r="E12" s="21">
        <f t="shared" si="11"/>
        <v>0.03168567807</v>
      </c>
    </row>
    <row r="13">
      <c r="A13" s="20">
        <v>45985.0</v>
      </c>
      <c r="B13" s="7">
        <f>VLOOKUP(A13,'Nestle S.A.'!A12:G67,6,0)</f>
        <v>79.83</v>
      </c>
      <c r="C13" s="7">
        <f>vlookup(A13,Mitsubishi!A13:G67,6,0)</f>
        <v>15.78</v>
      </c>
      <c r="D13" s="21">
        <f t="shared" ref="D13:E13" si="12">B13/B14-1</f>
        <v>-0.0116379844</v>
      </c>
      <c r="E13" s="21">
        <f t="shared" si="12"/>
        <v>0.03815789474</v>
      </c>
    </row>
    <row r="14">
      <c r="A14" s="20">
        <v>45978.0</v>
      </c>
      <c r="B14" s="7">
        <f>VLOOKUP(A14,'Nestle S.A.'!A13:G68,6,0)</f>
        <v>80.77</v>
      </c>
      <c r="C14" s="7">
        <f>vlookup(A14,Mitsubishi!A14:G68,6,0)</f>
        <v>15.2</v>
      </c>
      <c r="D14" s="21">
        <f t="shared" ref="D14:E14" si="13">B14/B15-1</f>
        <v>0.005727804757</v>
      </c>
      <c r="E14" s="21">
        <f t="shared" si="13"/>
        <v>-0.03736542115</v>
      </c>
    </row>
    <row r="15">
      <c r="A15" s="20">
        <v>45971.0</v>
      </c>
      <c r="B15" s="7">
        <f>VLOOKUP(A15,'Nestle S.A.'!A14:G69,6,0)</f>
        <v>80.31</v>
      </c>
      <c r="C15" s="7">
        <f>vlookup(A15,Mitsubishi!A15:G69,6,0)</f>
        <v>15.79</v>
      </c>
      <c r="D15" s="21">
        <f t="shared" ref="D15:E15" si="14">B15/B16-1</f>
        <v>0.01504044489</v>
      </c>
      <c r="E15" s="21">
        <f t="shared" si="14"/>
        <v>0.04708222812</v>
      </c>
    </row>
    <row r="16">
      <c r="A16" s="20">
        <v>45964.0</v>
      </c>
      <c r="B16" s="7">
        <f>VLOOKUP(A16,'Nestle S.A.'!A15:G70,6,0)</f>
        <v>79.12</v>
      </c>
      <c r="C16" s="7">
        <f>vlookup(A16,Mitsubishi!A16:G70,6,0)</f>
        <v>15.08</v>
      </c>
      <c r="D16" s="21">
        <f t="shared" ref="D16:E16" si="15">B16/B17-1</f>
        <v>0.02913631634</v>
      </c>
      <c r="E16" s="21">
        <f t="shared" si="15"/>
        <v>-0.003304692664</v>
      </c>
    </row>
    <row r="17">
      <c r="A17" s="20">
        <v>45957.0</v>
      </c>
      <c r="B17" s="7">
        <f>VLOOKUP(A17,'Nestle S.A.'!A16:G71,6,0)</f>
        <v>76.88</v>
      </c>
      <c r="C17" s="7">
        <f>vlookup(A17,Mitsubishi!A17:G71,6,0)</f>
        <v>15.13</v>
      </c>
      <c r="D17" s="21">
        <f t="shared" ref="D17:E17" si="16">B17/B18-1</f>
        <v>-0.0403195606</v>
      </c>
      <c r="E17" s="21">
        <f t="shared" si="16"/>
        <v>0.02437373053</v>
      </c>
    </row>
    <row r="18">
      <c r="A18" s="20">
        <v>45950.0</v>
      </c>
      <c r="B18" s="7">
        <f>VLOOKUP(A18,'Nestle S.A.'!A17:G72,6,0)</f>
        <v>80.11</v>
      </c>
      <c r="C18" s="7">
        <f>vlookup(A18,Mitsubishi!A18:G72,6,0)</f>
        <v>14.77</v>
      </c>
      <c r="D18" s="21">
        <f t="shared" ref="D18:E18" si="17">B18/B19-1</f>
        <v>-0.05564069315</v>
      </c>
      <c r="E18" s="21">
        <f t="shared" si="17"/>
        <v>-0.01533333333</v>
      </c>
    </row>
    <row r="19">
      <c r="A19" s="20">
        <v>45943.0</v>
      </c>
      <c r="B19" s="7">
        <f>VLOOKUP(A19,'Nestle S.A.'!A18:G73,6,0)</f>
        <v>84.83</v>
      </c>
      <c r="C19" s="7">
        <f>vlookup(A19,Mitsubishi!A19:G73,6,0)</f>
        <v>15</v>
      </c>
      <c r="D19" s="21">
        <f t="shared" ref="D19:E19" si="18">B19/B20-1</f>
        <v>0.1219415421</v>
      </c>
      <c r="E19" s="21">
        <f t="shared" si="18"/>
        <v>0.02599179207</v>
      </c>
    </row>
    <row r="20">
      <c r="A20" s="20">
        <v>45936.0</v>
      </c>
      <c r="B20" s="7">
        <f>VLOOKUP(A20,'Nestle S.A.'!A19:G74,6,0)</f>
        <v>75.61</v>
      </c>
      <c r="C20" s="7">
        <f>vlookup(A20,Mitsubishi!A20:G74,6,0)</f>
        <v>14.62</v>
      </c>
      <c r="D20" s="21">
        <f t="shared" ref="D20:E20" si="19">B20/B21-1</f>
        <v>0.01900269542</v>
      </c>
      <c r="E20" s="21">
        <f t="shared" si="19"/>
        <v>-0.07233502538</v>
      </c>
    </row>
    <row r="21">
      <c r="A21" s="20">
        <v>45929.0</v>
      </c>
      <c r="B21" s="7">
        <f>VLOOKUP(A21,'Nestle S.A.'!A20:G75,6,0)</f>
        <v>74.2</v>
      </c>
      <c r="C21" s="7">
        <f>vlookup(A21,Mitsubishi!A21:G75,6,0)</f>
        <v>15.76</v>
      </c>
      <c r="D21" s="21">
        <f t="shared" ref="D21:E21" si="20">B21/B22-1</f>
        <v>0.04301377565</v>
      </c>
      <c r="E21" s="21">
        <f t="shared" si="20"/>
        <v>-0.0174563591</v>
      </c>
    </row>
    <row r="22">
      <c r="A22" s="20">
        <v>45922.0</v>
      </c>
      <c r="B22" s="7">
        <f>VLOOKUP(A22,'Nestle S.A.'!A21:G76,6,0)</f>
        <v>71.14</v>
      </c>
      <c r="C22" s="7">
        <f>vlookup(A22,Mitsubishi!A22:G76,6,0)</f>
        <v>16.04</v>
      </c>
      <c r="D22" s="21">
        <f t="shared" ref="D22:E22" si="21">B22/B23-1</f>
        <v>-0.0176746755</v>
      </c>
      <c r="E22" s="21">
        <f t="shared" si="21"/>
        <v>0.0119873817</v>
      </c>
    </row>
    <row r="23">
      <c r="A23" s="20">
        <v>45915.0</v>
      </c>
      <c r="B23" s="7">
        <f>VLOOKUP(A23,'Nestle S.A.'!A22:G77,6,0)</f>
        <v>72.42</v>
      </c>
      <c r="C23" s="7">
        <f>vlookup(A23,Mitsubishi!A23:G77,6,0)</f>
        <v>15.85</v>
      </c>
      <c r="D23" s="21">
        <f t="shared" ref="D23:E23" si="22">B23/B24-1</f>
        <v>-0.00767333516</v>
      </c>
      <c r="E23" s="21">
        <f t="shared" si="22"/>
        <v>0.01798330122</v>
      </c>
    </row>
    <row r="24">
      <c r="A24" s="20">
        <v>45908.0</v>
      </c>
      <c r="B24" s="7">
        <f>VLOOKUP(A24,'Nestle S.A.'!A23:G78,6,0)</f>
        <v>72.98</v>
      </c>
      <c r="C24" s="7">
        <f>vlookup(A24,Mitsubishi!A24:G78,6,0)</f>
        <v>15.57</v>
      </c>
      <c r="D24" s="21">
        <f t="shared" ref="D24:E24" si="23">B24/B25-1</f>
        <v>-0.03222384299</v>
      </c>
      <c r="E24" s="21">
        <f t="shared" si="23"/>
        <v>0.01964636542</v>
      </c>
    </row>
    <row r="25">
      <c r="A25" s="20">
        <v>45901.0</v>
      </c>
      <c r="B25" s="7">
        <f>VLOOKUP(A25,'Nestle S.A.'!A24:G79,6,0)</f>
        <v>75.41</v>
      </c>
      <c r="C25" s="7">
        <f>vlookup(A25,Mitsubishi!A25:G79,6,0)</f>
        <v>15.27</v>
      </c>
      <c r="D25" s="21">
        <f t="shared" ref="D25:E25" si="24">B25/B26-1</f>
        <v>0.0002652871734</v>
      </c>
      <c r="E25" s="21">
        <f t="shared" si="24"/>
        <v>-0.001308044474</v>
      </c>
    </row>
    <row r="26">
      <c r="A26" s="20">
        <v>45894.0</v>
      </c>
      <c r="B26" s="7">
        <f>VLOOKUP(A26,'Nestle S.A.'!A25:G80,6,0)</f>
        <v>75.39</v>
      </c>
      <c r="C26" s="7">
        <f>vlookup(A26,Mitsubishi!A26:G80,6,0)</f>
        <v>15.29</v>
      </c>
      <c r="D26" s="21">
        <f t="shared" ref="D26:E26" si="25">B26/B27-1</f>
        <v>0.000398089172</v>
      </c>
      <c r="E26" s="21">
        <f t="shared" si="25"/>
        <v>-0.01987179487</v>
      </c>
    </row>
    <row r="27">
      <c r="A27" s="20">
        <v>45887.0</v>
      </c>
      <c r="B27" s="7">
        <f>VLOOKUP(A27,'Nestle S.A.'!A26:G81,6,0)</f>
        <v>75.36</v>
      </c>
      <c r="C27" s="7">
        <f>vlookup(A27,Mitsubishi!A27:G81,6,0)</f>
        <v>15.6</v>
      </c>
      <c r="D27" s="21">
        <f t="shared" ref="D27:E27" si="26">B27/B28-1</f>
        <v>0.0417473044</v>
      </c>
      <c r="E27" s="21">
        <f t="shared" si="26"/>
        <v>-0.01886792453</v>
      </c>
    </row>
    <row r="28">
      <c r="A28" s="20">
        <v>45880.0</v>
      </c>
      <c r="B28" s="7">
        <f>VLOOKUP(A28,'Nestle S.A.'!A27:G82,6,0)</f>
        <v>72.34</v>
      </c>
      <c r="C28" s="7">
        <f>vlookup(A28,Mitsubishi!A28:G82,6,0)</f>
        <v>15.9</v>
      </c>
      <c r="D28" s="21">
        <f t="shared" ref="D28:E28" si="27">B28/B29-1</f>
        <v>0.003328710125</v>
      </c>
      <c r="E28" s="21">
        <f t="shared" si="27"/>
        <v>0.09203296703</v>
      </c>
    </row>
    <row r="29">
      <c r="A29" s="20">
        <v>45873.0</v>
      </c>
      <c r="B29" s="7">
        <f>VLOOKUP(A29,'Nestle S.A.'!A28:G83,6,0)</f>
        <v>72.1</v>
      </c>
      <c r="C29" s="7">
        <f>vlookup(A29,Mitsubishi!A29:G83,6,0)</f>
        <v>14.56</v>
      </c>
      <c r="D29" s="21">
        <f t="shared" ref="D29:E29" si="28">B29/B30-1</f>
        <v>0.01406469761</v>
      </c>
      <c r="E29" s="21">
        <f t="shared" si="28"/>
        <v>0.04597701149</v>
      </c>
    </row>
    <row r="30">
      <c r="A30" s="20">
        <v>45866.0</v>
      </c>
      <c r="B30" s="7">
        <f>VLOOKUP(A30,'Nestle S.A.'!A29:G84,6,0)</f>
        <v>71.1</v>
      </c>
      <c r="C30" s="7">
        <f>vlookup(A30,Mitsubishi!A30:G84,6,0)</f>
        <v>13.92</v>
      </c>
      <c r="D30" s="21">
        <f t="shared" ref="D30:E30" si="29">B30/B31-1</f>
        <v>-0.03027823241</v>
      </c>
      <c r="E30" s="21">
        <f t="shared" si="29"/>
        <v>-0.05112474438</v>
      </c>
    </row>
    <row r="31">
      <c r="A31" s="20">
        <v>45859.0</v>
      </c>
      <c r="B31" s="7">
        <f>VLOOKUP(A31,'Nestle S.A.'!A30:G85,6,0)</f>
        <v>73.32</v>
      </c>
      <c r="C31" s="7">
        <f>vlookup(A31,Mitsubishi!A31:G85,6,0)</f>
        <v>14.67</v>
      </c>
      <c r="D31" s="21">
        <f t="shared" ref="D31:E31" si="30">B31/B32-1</f>
        <v>-0.0566134843</v>
      </c>
      <c r="E31" s="21">
        <f t="shared" si="30"/>
        <v>0.1038374718</v>
      </c>
    </row>
    <row r="32">
      <c r="A32" s="20">
        <v>45852.0</v>
      </c>
      <c r="B32" s="7">
        <f>VLOOKUP(A32,'Nestle S.A.'!A31:G86,6,0)</f>
        <v>77.72</v>
      </c>
      <c r="C32" s="7">
        <f>vlookup(A32,Mitsubishi!A32:G86,6,0)</f>
        <v>13.29</v>
      </c>
      <c r="D32" s="21">
        <f t="shared" ref="D32:E32" si="31">B32/B33-1</f>
        <v>0.009481750877</v>
      </c>
      <c r="E32" s="21">
        <f t="shared" si="31"/>
        <v>-0.0292184076</v>
      </c>
    </row>
    <row r="33">
      <c r="A33" s="20">
        <v>45845.0</v>
      </c>
      <c r="B33" s="7">
        <f>VLOOKUP(A33,'Nestle S.A.'!A32:G87,6,0)</f>
        <v>76.99</v>
      </c>
      <c r="C33" s="7">
        <f>vlookup(A33,Mitsubishi!A33:G87,6,0)</f>
        <v>13.69</v>
      </c>
      <c r="D33" s="21">
        <f t="shared" ref="D33:E33" si="32">B33/B34-1</f>
        <v>-0.02876245742</v>
      </c>
      <c r="E33" s="21">
        <f t="shared" si="32"/>
        <v>-0.01934097421</v>
      </c>
    </row>
    <row r="34">
      <c r="A34" s="20">
        <v>45838.0</v>
      </c>
      <c r="B34" s="7">
        <f>VLOOKUP(A34,'Nestle S.A.'!A33:G88,6,0)</f>
        <v>79.27</v>
      </c>
      <c r="C34" s="7">
        <f>vlookup(A34,Mitsubishi!A34:G88,6,0)</f>
        <v>13.96</v>
      </c>
      <c r="D34" s="21">
        <f t="shared" ref="D34:E34" si="33">B34/B35-1</f>
        <v>-0.0002522386177</v>
      </c>
      <c r="E34" s="21">
        <f t="shared" si="33"/>
        <v>0.005039596832</v>
      </c>
    </row>
    <row r="35">
      <c r="A35" s="20">
        <v>45831.0</v>
      </c>
      <c r="B35" s="7">
        <f>VLOOKUP(A35,'Nestle S.A.'!A34:G89,6,0)</f>
        <v>79.29</v>
      </c>
      <c r="C35" s="7">
        <f>vlookup(A35,Mitsubishi!A35:G89,6,0)</f>
        <v>13.89</v>
      </c>
      <c r="D35" s="21">
        <f t="shared" ref="D35:E35" si="34">B35/B36-1</f>
        <v>-0.02759381898</v>
      </c>
      <c r="E35" s="21">
        <f t="shared" si="34"/>
        <v>0.0281273131</v>
      </c>
    </row>
    <row r="36">
      <c r="A36" s="20">
        <v>45824.0</v>
      </c>
      <c r="B36" s="7">
        <f>VLOOKUP(A36,'Nestle S.A.'!A35:G90,6,0)</f>
        <v>81.54</v>
      </c>
      <c r="C36" s="7">
        <f>vlookup(A36,Mitsubishi!A36:G90,6,0)</f>
        <v>13.51</v>
      </c>
      <c r="D36" s="21">
        <f t="shared" ref="D36:E36" si="35">B36/B37-1</f>
        <v>-0.03216617211</v>
      </c>
      <c r="E36" s="21">
        <f t="shared" si="35"/>
        <v>-0.007347538575</v>
      </c>
    </row>
    <row r="37">
      <c r="A37" s="20">
        <v>45817.0</v>
      </c>
      <c r="B37" s="7">
        <f>VLOOKUP(A37,'Nestle S.A.'!A36:G91,6,0)</f>
        <v>84.25</v>
      </c>
      <c r="C37" s="7">
        <f>vlookup(A37,Mitsubishi!A37:G91,6,0)</f>
        <v>13.61</v>
      </c>
      <c r="D37" s="21">
        <f t="shared" ref="D37:E37" si="36">B37/B38-1</f>
        <v>-0.02825836217</v>
      </c>
      <c r="E37" s="21">
        <f t="shared" si="36"/>
        <v>-0.01661849711</v>
      </c>
    </row>
    <row r="38">
      <c r="A38" s="20">
        <v>45810.0</v>
      </c>
      <c r="B38" s="7">
        <f>VLOOKUP(A38,'Nestle S.A.'!A37:G92,6,0)</f>
        <v>86.7</v>
      </c>
      <c r="C38" s="7">
        <f>vlookup(A38,Mitsubishi!A38:G92,6,0)</f>
        <v>13.84</v>
      </c>
      <c r="D38" s="21">
        <f t="shared" ref="D38:E38" si="37">B38/B39-1</f>
        <v>-0.01140250855</v>
      </c>
      <c r="E38" s="21">
        <f t="shared" si="37"/>
        <v>-0.01983002833</v>
      </c>
    </row>
    <row r="39">
      <c r="A39" s="20">
        <v>45803.0</v>
      </c>
      <c r="B39" s="7">
        <f>VLOOKUP(A39,'Nestle S.A.'!A38:G93,6,0)</f>
        <v>87.7</v>
      </c>
      <c r="C39" s="7">
        <f>vlookup(A39,Mitsubishi!A39:G93,6,0)</f>
        <v>14.12</v>
      </c>
      <c r="D39" s="21">
        <f t="shared" ref="D39:E39" si="38">B39/B40-1</f>
        <v>-0.00926344329</v>
      </c>
      <c r="E39" s="21">
        <f t="shared" si="38"/>
        <v>0.04283604136</v>
      </c>
    </row>
    <row r="40">
      <c r="A40" s="20">
        <v>45796.0</v>
      </c>
      <c r="B40" s="7">
        <f>VLOOKUP(A40,'Nestle S.A.'!A39:G94,6,0)</f>
        <v>88.52</v>
      </c>
      <c r="C40" s="7">
        <f>vlookup(A40,Mitsubishi!A40:G94,6,0)</f>
        <v>13.54</v>
      </c>
      <c r="D40" s="21">
        <f t="shared" ref="D40:E40" si="39">B40/B41-1</f>
        <v>0.0235892692</v>
      </c>
      <c r="E40" s="21">
        <f t="shared" si="39"/>
        <v>0</v>
      </c>
    </row>
    <row r="41">
      <c r="A41" s="20">
        <v>45789.0</v>
      </c>
      <c r="B41" s="7">
        <f>VLOOKUP(A41,'Nestle S.A.'!A40:G95,6,0)</f>
        <v>86.48</v>
      </c>
      <c r="C41" s="7">
        <f>vlookup(A41,Mitsubishi!A41:G95,6,0)</f>
        <v>13.54</v>
      </c>
      <c r="D41" s="21">
        <f t="shared" ref="D41:E41" si="40">B41/B42-1</f>
        <v>-0.01334854535</v>
      </c>
      <c r="E41" s="21">
        <f t="shared" si="40"/>
        <v>0.08060654429</v>
      </c>
    </row>
    <row r="42">
      <c r="A42" s="20">
        <v>45782.0</v>
      </c>
      <c r="B42" s="7">
        <f>VLOOKUP(A42,'Nestle S.A.'!A41:G96,6,0)</f>
        <v>87.65</v>
      </c>
      <c r="C42" s="7">
        <f>vlookup(A42,Mitsubishi!A42:G96,6,0)</f>
        <v>12.53</v>
      </c>
      <c r="D42" s="21">
        <f t="shared" ref="D42:E42" si="41">B42/B43-1</f>
        <v>0.0005707762557</v>
      </c>
      <c r="E42" s="21">
        <f t="shared" si="41"/>
        <v>0.01869918699</v>
      </c>
    </row>
    <row r="43">
      <c r="A43" s="20">
        <v>45775.0</v>
      </c>
      <c r="B43" s="7">
        <f>VLOOKUP(A43,'Nestle S.A.'!A42:G97,6,0)</f>
        <v>87.6</v>
      </c>
      <c r="C43" s="7">
        <f>vlookup(A43,Mitsubishi!A43:G97,6,0)</f>
        <v>12.3</v>
      </c>
      <c r="D43" s="21">
        <f t="shared" ref="D43:E43" si="42">B43/B44-1</f>
        <v>0.06152223151</v>
      </c>
      <c r="E43" s="21">
        <f t="shared" si="42"/>
        <v>0.002444987775</v>
      </c>
    </row>
    <row r="44">
      <c r="A44" s="20">
        <v>45768.0</v>
      </c>
      <c r="B44" s="22">
        <f>VLOOKUP(A44,'Nestle S.A.'!A43:G98,6,0)</f>
        <v>82.52300084</v>
      </c>
      <c r="C44" s="7">
        <f>vlookup(A44,Mitsubishi!A44:G98,6,0)</f>
        <v>12.27</v>
      </c>
      <c r="D44" s="21">
        <f t="shared" ref="D44:E44" si="43">B44/B45-1</f>
        <v>-0.002228500184</v>
      </c>
      <c r="E44" s="21">
        <f t="shared" si="43"/>
        <v>0.03369839933</v>
      </c>
    </row>
    <row r="45">
      <c r="A45" s="20">
        <v>45761.0</v>
      </c>
      <c r="B45" s="22">
        <f>VLOOKUP(A45,'Nestle S.A.'!A44:G99,6,0)</f>
        <v>82.7073141</v>
      </c>
      <c r="C45" s="7">
        <f>vlookup(A45,Mitsubishi!A45:G99,6,0)</f>
        <v>11.87</v>
      </c>
      <c r="D45" s="21">
        <f t="shared" ref="D45:E45" si="44">B45/B46-1</f>
        <v>-0.002223545014</v>
      </c>
      <c r="E45" s="21">
        <f t="shared" si="44"/>
        <v>0.02415875755</v>
      </c>
    </row>
    <row r="46">
      <c r="A46" s="20">
        <v>45754.0</v>
      </c>
      <c r="B46" s="22">
        <f>VLOOKUP(A46,'Nestle S.A.'!A45:G100,6,0)</f>
        <v>82.89162737</v>
      </c>
      <c r="C46" s="7">
        <f>vlookup(A46,Mitsubishi!A46:G100,6,0)</f>
        <v>11.59</v>
      </c>
      <c r="D46" s="21">
        <f t="shared" ref="D46:E46" si="45">B46/B47-1</f>
        <v>-0.002218611831</v>
      </c>
      <c r="E46" s="21">
        <f t="shared" si="45"/>
        <v>0.06820276498</v>
      </c>
    </row>
    <row r="47">
      <c r="A47" s="20">
        <v>45747.0</v>
      </c>
      <c r="B47" s="22">
        <f>VLOOKUP(A47,'Nestle S.A.'!A46:G101,6,0)</f>
        <v>83.07594063</v>
      </c>
      <c r="C47" s="23">
        <v>10.85</v>
      </c>
      <c r="D47" s="21">
        <f t="shared" ref="D47:E47" si="46">B47/B48-1</f>
        <v>-0.002213700489</v>
      </c>
      <c r="E47" s="21">
        <f t="shared" si="46"/>
        <v>-0.2086068563</v>
      </c>
    </row>
    <row r="48">
      <c r="A48" s="20">
        <v>45740.0</v>
      </c>
      <c r="B48" s="22">
        <f>VLOOKUP(A48,'Nestle S.A.'!A47:G102,6,0)</f>
        <v>83.2602539</v>
      </c>
      <c r="C48" s="7">
        <f>vlookup(A48,Mitsubishi!A48:G102,6,0)</f>
        <v>13.71</v>
      </c>
      <c r="D48" s="21">
        <f t="shared" ref="D48:E48" si="47">B48/B49-1</f>
        <v>-0.002208810843</v>
      </c>
      <c r="E48" s="21">
        <f t="shared" si="47"/>
        <v>-0.06671204901</v>
      </c>
    </row>
    <row r="49">
      <c r="A49" s="20">
        <v>45733.0</v>
      </c>
      <c r="B49" s="22">
        <f>VLOOKUP(A49,'Nestle S.A.'!A48:G103,6,0)</f>
        <v>83.44456716</v>
      </c>
      <c r="C49" s="7">
        <f>vlookup(A49,Mitsubishi!A49:G103,6,0)</f>
        <v>14.69</v>
      </c>
      <c r="D49" s="21">
        <f t="shared" ref="D49:E49" si="48">B49/B50-1</f>
        <v>-0.00220394275</v>
      </c>
      <c r="E49" s="21">
        <f t="shared" si="48"/>
        <v>0.09626865672</v>
      </c>
    </row>
    <row r="50">
      <c r="A50" s="20">
        <v>45726.0</v>
      </c>
      <c r="B50" s="22">
        <f>VLOOKUP(A50,'Nestle S.A.'!A49:G104,6,0)</f>
        <v>83.62888043</v>
      </c>
      <c r="C50" s="7">
        <f>vlookup(A50,Mitsubishi!A50:G104,6,0)</f>
        <v>13.4</v>
      </c>
      <c r="D50" s="21">
        <f t="shared" ref="D50:E50" si="49">B50/B51-1</f>
        <v>-0.002199096068</v>
      </c>
      <c r="E50" s="21">
        <f t="shared" si="49"/>
        <v>0.04933437745</v>
      </c>
    </row>
    <row r="51">
      <c r="A51" s="20">
        <v>45719.0</v>
      </c>
      <c r="B51" s="22">
        <f>VLOOKUP(A51,'Nestle S.A.'!A50:G105,6,0)</f>
        <v>83.81319369</v>
      </c>
      <c r="C51" s="7">
        <f>vlookup(A51,Mitsubishi!A51:G105,6,0)</f>
        <v>12.77</v>
      </c>
      <c r="D51" s="21">
        <f t="shared" ref="D51:E51" si="50">B51/B52-1</f>
        <v>-0.002194270656</v>
      </c>
      <c r="E51" s="21">
        <f t="shared" si="50"/>
        <v>0.02241793435</v>
      </c>
    </row>
    <row r="52">
      <c r="A52" s="20">
        <v>45712.0</v>
      </c>
      <c r="B52" s="22">
        <f>VLOOKUP(A52,'Nestle S.A.'!A51:G106,6,0)</f>
        <v>83.99750696</v>
      </c>
      <c r="C52" s="7">
        <f>vlookup(A52,Mitsubishi!A52:G106,6,0)</f>
        <v>12.49</v>
      </c>
      <c r="D52" s="21">
        <f t="shared" ref="D52:E52" si="51">B52/B53-1</f>
        <v>-0.002189466375</v>
      </c>
      <c r="E52" s="21">
        <f t="shared" si="51"/>
        <v>0.007258064516</v>
      </c>
    </row>
    <row r="53">
      <c r="A53" s="20">
        <v>45705.0</v>
      </c>
      <c r="B53" s="22">
        <f>VLOOKUP(A53,'Nestle S.A.'!A52:G107,6,0)</f>
        <v>84.18182022</v>
      </c>
      <c r="C53" s="7">
        <f>vlookup(A53,Mitsubishi!A53:G107,6,0)</f>
        <v>12.4</v>
      </c>
      <c r="D53" s="21">
        <f t="shared" ref="D53:E53" si="52">B53/B54-1</f>
        <v>-0.002184683084</v>
      </c>
      <c r="E53" s="21">
        <f t="shared" si="52"/>
        <v>-0.0127388535</v>
      </c>
    </row>
    <row r="54">
      <c r="A54" s="20">
        <v>45698.0</v>
      </c>
      <c r="B54" s="22">
        <f>VLOOKUP(A54,'Nestle S.A.'!A53:G108,6,0)</f>
        <v>84.36613348</v>
      </c>
      <c r="C54" s="7">
        <f>vlookup(A54,Mitsubishi!A54:G108,6,0)</f>
        <v>12.56</v>
      </c>
      <c r="D54" s="21">
        <f t="shared" ref="D54:E54" si="53">B54/B55-1</f>
        <v>0.1277387179</v>
      </c>
      <c r="E54" s="21">
        <f t="shared" si="53"/>
        <v>0.02113821138</v>
      </c>
    </row>
    <row r="55">
      <c r="A55" s="20">
        <v>45691.0</v>
      </c>
      <c r="B55" s="7">
        <f>VLOOKUP(A55,'Nestle S.A.'!A54:G109,6,0)</f>
        <v>74.81</v>
      </c>
      <c r="C55" s="7">
        <f>vlookup(A55,Mitsubishi!A55:G109,6,0)</f>
        <v>12.3</v>
      </c>
      <c r="D55" s="21"/>
      <c r="E55" s="21"/>
    </row>
    <row r="56">
      <c r="A56" s="24"/>
      <c r="D56" s="21"/>
      <c r="E56" s="21"/>
    </row>
    <row r="57">
      <c r="A57" s="24"/>
      <c r="D57" s="21"/>
      <c r="E57" s="21"/>
    </row>
    <row r="58">
      <c r="A58" s="24"/>
      <c r="D58" s="21"/>
      <c r="E58" s="21"/>
    </row>
    <row r="59">
      <c r="A59" s="24"/>
      <c r="D59" s="21"/>
      <c r="E59" s="21"/>
    </row>
    <row r="60">
      <c r="A60" s="24"/>
      <c r="D60" s="21"/>
      <c r="E60" s="21"/>
    </row>
    <row r="61">
      <c r="A61" s="24"/>
      <c r="D61" s="21"/>
      <c r="E61" s="21"/>
    </row>
    <row r="62">
      <c r="A62" s="24"/>
      <c r="D62" s="21"/>
      <c r="E62" s="21"/>
    </row>
    <row r="63">
      <c r="A63" s="24"/>
      <c r="D63" s="21"/>
      <c r="E63" s="21"/>
    </row>
    <row r="64">
      <c r="A64" s="24"/>
      <c r="D64" s="21"/>
      <c r="E64" s="21"/>
    </row>
    <row r="65">
      <c r="A65" s="24"/>
      <c r="D65" s="21"/>
      <c r="E65" s="21"/>
    </row>
    <row r="66">
      <c r="A66" s="24"/>
      <c r="D66" s="21"/>
      <c r="E66" s="21"/>
    </row>
    <row r="67">
      <c r="A67" s="24"/>
      <c r="D67" s="21"/>
      <c r="E67" s="21"/>
    </row>
    <row r="68">
      <c r="A68" s="24"/>
      <c r="D68" s="21"/>
      <c r="E68" s="21"/>
    </row>
    <row r="69">
      <c r="A69" s="24"/>
      <c r="D69" s="21"/>
      <c r="E69" s="21"/>
    </row>
    <row r="70">
      <c r="A70" s="24"/>
      <c r="D70" s="21"/>
      <c r="E70" s="21"/>
    </row>
    <row r="71">
      <c r="A71" s="24"/>
      <c r="D71" s="21"/>
      <c r="E71" s="21"/>
    </row>
    <row r="72">
      <c r="A72" s="24"/>
      <c r="D72" s="21"/>
      <c r="E72" s="21"/>
    </row>
    <row r="73">
      <c r="A73" s="24"/>
      <c r="D73" s="21"/>
      <c r="E73" s="21"/>
    </row>
    <row r="74">
      <c r="A74" s="24"/>
      <c r="D74" s="21"/>
      <c r="E74" s="21"/>
    </row>
    <row r="75">
      <c r="A75" s="24"/>
      <c r="D75" s="21"/>
      <c r="E75" s="21"/>
    </row>
    <row r="76">
      <c r="A76" s="24"/>
      <c r="D76" s="21"/>
      <c r="E76" s="21"/>
    </row>
    <row r="77">
      <c r="A77" s="24"/>
      <c r="D77" s="21"/>
      <c r="E77" s="21"/>
    </row>
    <row r="78">
      <c r="A78" s="24"/>
      <c r="D78" s="21"/>
      <c r="E78" s="21"/>
    </row>
    <row r="79">
      <c r="A79" s="24"/>
      <c r="D79" s="21"/>
      <c r="E79" s="21"/>
    </row>
    <row r="80">
      <c r="A80" s="24"/>
      <c r="D80" s="21"/>
      <c r="E80" s="21"/>
    </row>
    <row r="81">
      <c r="A81" s="24"/>
      <c r="D81" s="21"/>
      <c r="E81" s="21"/>
    </row>
    <row r="82">
      <c r="A82" s="24"/>
      <c r="D82" s="21"/>
      <c r="E82" s="21"/>
    </row>
    <row r="83">
      <c r="A83" s="24"/>
      <c r="D83" s="21"/>
      <c r="E83" s="21"/>
    </row>
    <row r="84">
      <c r="A84" s="24"/>
      <c r="D84" s="21"/>
      <c r="E84" s="21"/>
    </row>
    <row r="85">
      <c r="A85" s="24"/>
      <c r="D85" s="21"/>
      <c r="E85" s="21"/>
    </row>
    <row r="86">
      <c r="A86" s="24"/>
      <c r="D86" s="21"/>
      <c r="E86" s="21"/>
    </row>
    <row r="87">
      <c r="A87" s="24"/>
      <c r="D87" s="21"/>
      <c r="E87" s="21"/>
    </row>
    <row r="88">
      <c r="A88" s="24"/>
      <c r="D88" s="21"/>
      <c r="E88" s="21"/>
    </row>
    <row r="89">
      <c r="A89" s="24"/>
      <c r="D89" s="21"/>
      <c r="E89" s="21"/>
    </row>
    <row r="90">
      <c r="A90" s="24"/>
      <c r="D90" s="21"/>
      <c r="E90" s="21"/>
    </row>
    <row r="91">
      <c r="A91" s="24"/>
      <c r="D91" s="21"/>
      <c r="E91" s="21"/>
    </row>
    <row r="92">
      <c r="A92" s="24"/>
      <c r="D92" s="21"/>
      <c r="E92" s="21"/>
    </row>
    <row r="93">
      <c r="A93" s="24"/>
      <c r="D93" s="21"/>
      <c r="E93" s="21"/>
    </row>
    <row r="94">
      <c r="A94" s="24"/>
      <c r="D94" s="21"/>
      <c r="E94" s="21"/>
    </row>
    <row r="95">
      <c r="A95" s="24"/>
      <c r="D95" s="21"/>
      <c r="E95" s="21"/>
    </row>
    <row r="96">
      <c r="A96" s="24"/>
      <c r="D96" s="21"/>
      <c r="E96" s="21"/>
    </row>
    <row r="97">
      <c r="A97" s="24"/>
      <c r="D97" s="21"/>
      <c r="E97" s="21"/>
    </row>
    <row r="98">
      <c r="A98" s="24"/>
      <c r="D98" s="21"/>
      <c r="E98" s="21"/>
    </row>
    <row r="99">
      <c r="A99" s="24"/>
      <c r="D99" s="21"/>
      <c r="E99" s="21"/>
    </row>
    <row r="100">
      <c r="A100" s="24"/>
      <c r="D100" s="21"/>
      <c r="E100" s="21"/>
    </row>
    <row r="101">
      <c r="A101" s="24"/>
      <c r="D101" s="21"/>
      <c r="E101" s="21"/>
    </row>
    <row r="102">
      <c r="A102" s="24"/>
      <c r="D102" s="21"/>
      <c r="E102" s="21"/>
    </row>
    <row r="103">
      <c r="A103" s="24"/>
      <c r="D103" s="21"/>
      <c r="E103" s="21"/>
    </row>
    <row r="104">
      <c r="A104" s="24"/>
      <c r="D104" s="21"/>
      <c r="E104" s="21"/>
    </row>
    <row r="105">
      <c r="A105" s="24"/>
      <c r="D105" s="21"/>
      <c r="E105" s="21"/>
    </row>
    <row r="106">
      <c r="A106" s="24"/>
      <c r="D106" s="21"/>
      <c r="E106" s="21"/>
    </row>
    <row r="107">
      <c r="A107" s="24"/>
      <c r="D107" s="21"/>
      <c r="E107" s="21"/>
    </row>
    <row r="108">
      <c r="A108" s="24"/>
      <c r="D108" s="21"/>
      <c r="E108" s="21"/>
    </row>
    <row r="109">
      <c r="A109" s="24"/>
      <c r="D109" s="21"/>
      <c r="E109" s="21"/>
    </row>
    <row r="110">
      <c r="A110" s="24"/>
      <c r="D110" s="21"/>
      <c r="E110" s="21"/>
    </row>
    <row r="111">
      <c r="A111" s="24"/>
      <c r="D111" s="21"/>
      <c r="E111" s="21"/>
    </row>
    <row r="112">
      <c r="A112" s="24"/>
      <c r="D112" s="21"/>
      <c r="E112" s="21"/>
    </row>
    <row r="113">
      <c r="A113" s="24"/>
      <c r="D113" s="21"/>
      <c r="E113" s="21"/>
    </row>
    <row r="114">
      <c r="A114" s="24"/>
      <c r="D114" s="21"/>
      <c r="E114" s="21"/>
    </row>
    <row r="115">
      <c r="A115" s="24"/>
      <c r="D115" s="21"/>
      <c r="E115" s="21"/>
    </row>
    <row r="116">
      <c r="A116" s="24"/>
      <c r="D116" s="21"/>
      <c r="E116" s="21"/>
    </row>
    <row r="117">
      <c r="A117" s="24"/>
      <c r="D117" s="21"/>
      <c r="E117" s="21"/>
    </row>
    <row r="118">
      <c r="A118" s="24"/>
      <c r="D118" s="21"/>
      <c r="E118" s="21"/>
    </row>
    <row r="119">
      <c r="A119" s="24"/>
      <c r="D119" s="21"/>
      <c r="E119" s="21"/>
    </row>
    <row r="120">
      <c r="A120" s="24"/>
      <c r="D120" s="21"/>
      <c r="E120" s="21"/>
    </row>
    <row r="121">
      <c r="A121" s="24"/>
      <c r="D121" s="21"/>
      <c r="E121" s="21"/>
    </row>
    <row r="122">
      <c r="A122" s="24"/>
      <c r="D122" s="21"/>
      <c r="E122" s="21"/>
    </row>
    <row r="123">
      <c r="A123" s="24"/>
      <c r="D123" s="21"/>
      <c r="E123" s="21"/>
    </row>
    <row r="124">
      <c r="A124" s="24"/>
      <c r="D124" s="21"/>
      <c r="E124" s="21"/>
    </row>
    <row r="125">
      <c r="A125" s="24"/>
      <c r="D125" s="21"/>
      <c r="E125" s="21"/>
    </row>
    <row r="126">
      <c r="A126" s="24"/>
      <c r="D126" s="21"/>
      <c r="E126" s="21"/>
    </row>
    <row r="127">
      <c r="A127" s="24"/>
      <c r="D127" s="21"/>
      <c r="E127" s="21"/>
    </row>
    <row r="128">
      <c r="A128" s="24"/>
      <c r="D128" s="21"/>
      <c r="E128" s="21"/>
    </row>
    <row r="129">
      <c r="A129" s="24"/>
      <c r="D129" s="21"/>
      <c r="E129" s="21"/>
    </row>
    <row r="130">
      <c r="A130" s="24"/>
      <c r="D130" s="21"/>
      <c r="E130" s="21"/>
    </row>
    <row r="131">
      <c r="A131" s="24"/>
      <c r="D131" s="21"/>
      <c r="E131" s="21"/>
    </row>
    <row r="132">
      <c r="A132" s="24"/>
      <c r="D132" s="21"/>
      <c r="E132" s="21"/>
    </row>
    <row r="133">
      <c r="A133" s="24"/>
      <c r="D133" s="21"/>
      <c r="E133" s="21"/>
    </row>
    <row r="134">
      <c r="A134" s="24"/>
      <c r="D134" s="21"/>
      <c r="E134" s="21"/>
    </row>
    <row r="135">
      <c r="A135" s="24"/>
      <c r="D135" s="21"/>
      <c r="E135" s="21"/>
    </row>
    <row r="136">
      <c r="A136" s="24"/>
      <c r="D136" s="21"/>
      <c r="E136" s="21"/>
    </row>
    <row r="137">
      <c r="A137" s="24"/>
      <c r="D137" s="21"/>
      <c r="E137" s="21"/>
    </row>
    <row r="138">
      <c r="A138" s="24"/>
      <c r="D138" s="21"/>
      <c r="E138" s="21"/>
    </row>
    <row r="139">
      <c r="A139" s="24"/>
      <c r="D139" s="21"/>
      <c r="E139" s="21"/>
    </row>
    <row r="140">
      <c r="A140" s="24"/>
      <c r="D140" s="21"/>
      <c r="E140" s="21"/>
    </row>
    <row r="141">
      <c r="A141" s="24"/>
      <c r="D141" s="21"/>
      <c r="E141" s="21"/>
    </row>
    <row r="142">
      <c r="A142" s="24"/>
      <c r="D142" s="21"/>
      <c r="E142" s="21"/>
    </row>
    <row r="143">
      <c r="A143" s="24"/>
      <c r="D143" s="21"/>
      <c r="E143" s="21"/>
    </row>
    <row r="144">
      <c r="A144" s="24"/>
      <c r="D144" s="21"/>
      <c r="E144" s="21"/>
    </row>
    <row r="145">
      <c r="A145" s="24"/>
      <c r="D145" s="21"/>
      <c r="E145" s="21"/>
    </row>
    <row r="146">
      <c r="A146" s="24"/>
      <c r="D146" s="21"/>
      <c r="E146" s="21"/>
    </row>
    <row r="147">
      <c r="A147" s="24"/>
      <c r="D147" s="21"/>
      <c r="E147" s="21"/>
    </row>
    <row r="148">
      <c r="A148" s="24"/>
      <c r="D148" s="21"/>
      <c r="E148" s="21"/>
    </row>
    <row r="149">
      <c r="A149" s="24"/>
      <c r="D149" s="21"/>
      <c r="E149" s="21"/>
    </row>
    <row r="150">
      <c r="A150" s="24"/>
      <c r="D150" s="21"/>
      <c r="E150" s="21"/>
    </row>
    <row r="151">
      <c r="A151" s="24"/>
      <c r="D151" s="21"/>
      <c r="E151" s="21"/>
    </row>
    <row r="152">
      <c r="A152" s="24"/>
      <c r="D152" s="21"/>
      <c r="E152" s="21"/>
    </row>
    <row r="153">
      <c r="A153" s="24"/>
      <c r="D153" s="21"/>
      <c r="E153" s="21"/>
    </row>
    <row r="154">
      <c r="A154" s="24"/>
      <c r="D154" s="21"/>
      <c r="E154" s="21"/>
    </row>
    <row r="155">
      <c r="A155" s="24"/>
      <c r="D155" s="21"/>
      <c r="E155" s="21"/>
    </row>
    <row r="156">
      <c r="A156" s="24"/>
      <c r="D156" s="21"/>
      <c r="E156" s="21"/>
    </row>
    <row r="157">
      <c r="A157" s="24"/>
      <c r="D157" s="21"/>
      <c r="E157" s="21"/>
    </row>
    <row r="158">
      <c r="A158" s="24"/>
      <c r="D158" s="21"/>
      <c r="E158" s="21"/>
    </row>
    <row r="159">
      <c r="A159" s="24"/>
      <c r="D159" s="21"/>
      <c r="E159" s="21"/>
    </row>
    <row r="160">
      <c r="A160" s="24"/>
      <c r="D160" s="21"/>
      <c r="E160" s="21"/>
    </row>
    <row r="161">
      <c r="A161" s="24"/>
      <c r="D161" s="21"/>
      <c r="E161" s="21"/>
    </row>
    <row r="162">
      <c r="A162" s="24"/>
      <c r="D162" s="21"/>
      <c r="E162" s="21"/>
    </row>
    <row r="163">
      <c r="A163" s="24"/>
      <c r="D163" s="21"/>
      <c r="E163" s="21"/>
    </row>
    <row r="164">
      <c r="A164" s="24"/>
      <c r="D164" s="21"/>
      <c r="E164" s="21"/>
    </row>
    <row r="165">
      <c r="A165" s="24"/>
      <c r="D165" s="21"/>
      <c r="E165" s="21"/>
    </row>
    <row r="166">
      <c r="A166" s="24"/>
      <c r="D166" s="21"/>
      <c r="E166" s="21"/>
    </row>
    <row r="167">
      <c r="A167" s="24"/>
      <c r="D167" s="21"/>
      <c r="E167" s="21"/>
    </row>
    <row r="168">
      <c r="A168" s="24"/>
      <c r="D168" s="21"/>
      <c r="E168" s="21"/>
    </row>
    <row r="169">
      <c r="A169" s="24"/>
      <c r="D169" s="21"/>
      <c r="E169" s="21"/>
    </row>
    <row r="170">
      <c r="A170" s="24"/>
      <c r="D170" s="21"/>
      <c r="E170" s="21"/>
    </row>
    <row r="171">
      <c r="A171" s="24"/>
      <c r="D171" s="21"/>
      <c r="E171" s="21"/>
    </row>
    <row r="172">
      <c r="A172" s="24"/>
      <c r="D172" s="21"/>
      <c r="E172" s="21"/>
    </row>
    <row r="173">
      <c r="A173" s="24"/>
      <c r="D173" s="21"/>
      <c r="E173" s="21"/>
    </row>
    <row r="174">
      <c r="A174" s="24"/>
      <c r="D174" s="21"/>
      <c r="E174" s="21"/>
    </row>
    <row r="175">
      <c r="A175" s="24"/>
      <c r="D175" s="21"/>
      <c r="E175" s="21"/>
    </row>
    <row r="176">
      <c r="A176" s="24"/>
      <c r="D176" s="21"/>
      <c r="E176" s="21"/>
    </row>
    <row r="177">
      <c r="A177" s="24"/>
      <c r="D177" s="21"/>
      <c r="E177" s="21"/>
    </row>
    <row r="178">
      <c r="A178" s="24"/>
      <c r="D178" s="21"/>
      <c r="E178" s="21"/>
    </row>
    <row r="179">
      <c r="A179" s="24"/>
      <c r="D179" s="21"/>
      <c r="E179" s="21"/>
    </row>
    <row r="180">
      <c r="A180" s="24"/>
      <c r="D180" s="21"/>
      <c r="E180" s="21"/>
    </row>
    <row r="181">
      <c r="A181" s="24"/>
      <c r="D181" s="21"/>
      <c r="E181" s="21"/>
    </row>
    <row r="182">
      <c r="A182" s="24"/>
      <c r="D182" s="21"/>
      <c r="E182" s="21"/>
    </row>
    <row r="183">
      <c r="A183" s="24"/>
      <c r="D183" s="21"/>
      <c r="E183" s="21"/>
    </row>
    <row r="184">
      <c r="A184" s="24"/>
      <c r="D184" s="21"/>
      <c r="E184" s="21"/>
    </row>
    <row r="185">
      <c r="A185" s="24"/>
      <c r="D185" s="21"/>
      <c r="E185" s="21"/>
    </row>
    <row r="186">
      <c r="A186" s="24"/>
      <c r="D186" s="21"/>
      <c r="E186" s="21"/>
    </row>
    <row r="187">
      <c r="A187" s="24"/>
      <c r="D187" s="21"/>
      <c r="E187" s="21"/>
    </row>
    <row r="188">
      <c r="A188" s="24"/>
      <c r="D188" s="21"/>
      <c r="E188" s="21"/>
    </row>
    <row r="189">
      <c r="A189" s="24"/>
      <c r="D189" s="21"/>
      <c r="E189" s="21"/>
    </row>
    <row r="190">
      <c r="A190" s="24"/>
      <c r="D190" s="21"/>
      <c r="E190" s="21"/>
    </row>
    <row r="191">
      <c r="A191" s="24"/>
      <c r="D191" s="21"/>
      <c r="E191" s="21"/>
    </row>
    <row r="192">
      <c r="A192" s="24"/>
      <c r="D192" s="21"/>
      <c r="E192" s="21"/>
    </row>
    <row r="193">
      <c r="A193" s="24"/>
      <c r="D193" s="21"/>
      <c r="E193" s="21"/>
    </row>
    <row r="194">
      <c r="A194" s="24"/>
      <c r="D194" s="21"/>
      <c r="E194" s="21"/>
    </row>
    <row r="195">
      <c r="A195" s="24"/>
      <c r="D195" s="21"/>
      <c r="E195" s="21"/>
    </row>
    <row r="196">
      <c r="A196" s="24"/>
      <c r="D196" s="21"/>
      <c r="E196" s="21"/>
    </row>
    <row r="197">
      <c r="A197" s="24"/>
      <c r="D197" s="21"/>
      <c r="E197" s="21"/>
    </row>
    <row r="198">
      <c r="A198" s="24"/>
      <c r="D198" s="21"/>
      <c r="E198" s="21"/>
    </row>
    <row r="199">
      <c r="A199" s="24"/>
      <c r="D199" s="21"/>
      <c r="E199" s="21"/>
    </row>
    <row r="200">
      <c r="A200" s="24"/>
      <c r="D200" s="21"/>
      <c r="E200" s="21"/>
    </row>
    <row r="201">
      <c r="A201" s="24"/>
      <c r="D201" s="21"/>
      <c r="E201" s="21"/>
    </row>
    <row r="202">
      <c r="A202" s="24"/>
      <c r="D202" s="21"/>
      <c r="E202" s="21"/>
    </row>
    <row r="203">
      <c r="A203" s="24"/>
      <c r="D203" s="21"/>
      <c r="E203" s="21"/>
    </row>
    <row r="204">
      <c r="A204" s="24"/>
      <c r="D204" s="21"/>
      <c r="E204" s="21"/>
    </row>
    <row r="205">
      <c r="A205" s="24"/>
      <c r="D205" s="21"/>
      <c r="E205" s="21"/>
    </row>
    <row r="206">
      <c r="A206" s="24"/>
      <c r="D206" s="21"/>
      <c r="E206" s="21"/>
    </row>
    <row r="207">
      <c r="A207" s="24"/>
      <c r="D207" s="21"/>
      <c r="E207" s="21"/>
    </row>
    <row r="208">
      <c r="A208" s="24"/>
      <c r="D208" s="21"/>
      <c r="E208" s="21"/>
    </row>
    <row r="209">
      <c r="A209" s="24"/>
      <c r="D209" s="21"/>
      <c r="E209" s="21"/>
    </row>
    <row r="210">
      <c r="A210" s="24"/>
      <c r="D210" s="21"/>
      <c r="E210" s="21"/>
    </row>
    <row r="211">
      <c r="A211" s="24"/>
      <c r="D211" s="21"/>
      <c r="E211" s="21"/>
    </row>
    <row r="212">
      <c r="A212" s="24"/>
      <c r="D212" s="21"/>
      <c r="E212" s="21"/>
    </row>
    <row r="213">
      <c r="A213" s="24"/>
      <c r="D213" s="21"/>
      <c r="E213" s="21"/>
    </row>
    <row r="214">
      <c r="A214" s="24"/>
      <c r="D214" s="21"/>
      <c r="E214" s="21"/>
    </row>
    <row r="215">
      <c r="A215" s="24"/>
      <c r="D215" s="21"/>
      <c r="E215" s="21"/>
    </row>
    <row r="216">
      <c r="A216" s="24"/>
      <c r="D216" s="21"/>
      <c r="E216" s="21"/>
    </row>
    <row r="217">
      <c r="A217" s="24"/>
      <c r="D217" s="21"/>
      <c r="E217" s="21"/>
    </row>
    <row r="218">
      <c r="A218" s="24"/>
      <c r="D218" s="21"/>
      <c r="E218" s="21"/>
    </row>
    <row r="219">
      <c r="A219" s="24"/>
      <c r="D219" s="21"/>
      <c r="E219" s="21"/>
    </row>
    <row r="220">
      <c r="A220" s="24"/>
      <c r="D220" s="21"/>
      <c r="E220" s="21"/>
    </row>
    <row r="221">
      <c r="A221" s="24"/>
      <c r="D221" s="21"/>
      <c r="E221" s="21"/>
    </row>
    <row r="222">
      <c r="A222" s="24"/>
      <c r="D222" s="21"/>
      <c r="E222" s="21"/>
    </row>
    <row r="223">
      <c r="A223" s="24"/>
      <c r="D223" s="21"/>
      <c r="E223" s="21"/>
    </row>
    <row r="224">
      <c r="A224" s="24"/>
      <c r="D224" s="21"/>
      <c r="E224" s="21"/>
    </row>
    <row r="225">
      <c r="A225" s="24"/>
      <c r="D225" s="21"/>
      <c r="E225" s="21"/>
    </row>
    <row r="226">
      <c r="A226" s="24"/>
      <c r="D226" s="21"/>
      <c r="E226" s="21"/>
    </row>
    <row r="227">
      <c r="A227" s="24"/>
      <c r="D227" s="21"/>
      <c r="E227" s="21"/>
    </row>
    <row r="228">
      <c r="A228" s="24"/>
      <c r="D228" s="21"/>
      <c r="E228" s="21"/>
    </row>
    <row r="229">
      <c r="A229" s="24"/>
      <c r="D229" s="21"/>
      <c r="E229" s="21"/>
    </row>
    <row r="230">
      <c r="A230" s="24"/>
      <c r="D230" s="21"/>
      <c r="E230" s="21"/>
    </row>
    <row r="231">
      <c r="A231" s="24"/>
      <c r="D231" s="21"/>
      <c r="E231" s="21"/>
    </row>
    <row r="232">
      <c r="A232" s="24"/>
      <c r="D232" s="21"/>
      <c r="E232" s="21"/>
    </row>
    <row r="233">
      <c r="A233" s="24"/>
      <c r="D233" s="21"/>
      <c r="E233" s="21"/>
    </row>
    <row r="234">
      <c r="A234" s="24"/>
      <c r="D234" s="21"/>
      <c r="E234" s="21"/>
    </row>
    <row r="235">
      <c r="A235" s="24"/>
      <c r="D235" s="21"/>
      <c r="E235" s="21"/>
    </row>
    <row r="236">
      <c r="A236" s="24"/>
      <c r="D236" s="21"/>
      <c r="E236" s="21"/>
    </row>
    <row r="237">
      <c r="A237" s="24"/>
      <c r="D237" s="21"/>
      <c r="E237" s="21"/>
    </row>
    <row r="238">
      <c r="A238" s="24"/>
      <c r="D238" s="21"/>
      <c r="E238" s="21"/>
    </row>
    <row r="239">
      <c r="A239" s="24"/>
      <c r="D239" s="21"/>
      <c r="E239" s="21"/>
    </row>
    <row r="240">
      <c r="A240" s="24"/>
      <c r="D240" s="21"/>
      <c r="E240" s="21"/>
    </row>
    <row r="241">
      <c r="A241" s="24"/>
      <c r="D241" s="21"/>
      <c r="E241" s="21"/>
    </row>
    <row r="242">
      <c r="A242" s="24"/>
      <c r="D242" s="21"/>
      <c r="E242" s="21"/>
    </row>
    <row r="243">
      <c r="A243" s="24"/>
      <c r="D243" s="21"/>
      <c r="E243" s="21"/>
    </row>
    <row r="244">
      <c r="A244" s="24"/>
      <c r="D244" s="21"/>
      <c r="E244" s="21"/>
    </row>
    <row r="245">
      <c r="A245" s="24"/>
      <c r="D245" s="21"/>
      <c r="E245" s="21"/>
    </row>
    <row r="246">
      <c r="A246" s="24"/>
      <c r="D246" s="21"/>
      <c r="E246" s="21"/>
    </row>
    <row r="247">
      <c r="A247" s="24"/>
      <c r="D247" s="21"/>
      <c r="E247" s="21"/>
    </row>
    <row r="248">
      <c r="A248" s="24"/>
      <c r="D248" s="21"/>
      <c r="E248" s="21"/>
    </row>
    <row r="249">
      <c r="A249" s="24"/>
      <c r="D249" s="21"/>
      <c r="E249" s="21"/>
    </row>
    <row r="250">
      <c r="A250" s="24"/>
      <c r="D250" s="21"/>
      <c r="E250" s="21"/>
    </row>
    <row r="251">
      <c r="A251" s="24"/>
      <c r="D251" s="21"/>
      <c r="E251" s="21"/>
    </row>
    <row r="252">
      <c r="A252" s="24"/>
      <c r="D252" s="21"/>
      <c r="E252" s="21"/>
    </row>
    <row r="253">
      <c r="A253" s="24"/>
      <c r="D253" s="21"/>
      <c r="E253" s="21"/>
    </row>
    <row r="254">
      <c r="A254" s="24"/>
      <c r="D254" s="21"/>
      <c r="E254" s="21"/>
    </row>
    <row r="255">
      <c r="A255" s="24"/>
      <c r="D255" s="21"/>
      <c r="E255" s="21"/>
    </row>
    <row r="256">
      <c r="A256" s="24"/>
      <c r="D256" s="21"/>
      <c r="E256" s="21"/>
    </row>
    <row r="257">
      <c r="A257" s="24"/>
      <c r="D257" s="21"/>
      <c r="E257" s="21"/>
    </row>
    <row r="258">
      <c r="A258" s="24"/>
      <c r="D258" s="21"/>
      <c r="E258" s="21"/>
    </row>
    <row r="259">
      <c r="A259" s="24"/>
      <c r="D259" s="21"/>
      <c r="E259" s="21"/>
    </row>
    <row r="260">
      <c r="A260" s="24"/>
      <c r="D260" s="21"/>
      <c r="E260" s="21"/>
    </row>
    <row r="261">
      <c r="A261" s="24"/>
      <c r="D261" s="21"/>
      <c r="E261" s="21"/>
    </row>
    <row r="262">
      <c r="A262" s="24"/>
      <c r="D262" s="21"/>
      <c r="E262" s="21"/>
    </row>
    <row r="263">
      <c r="A263" s="24"/>
      <c r="D263" s="21"/>
      <c r="E263" s="21"/>
    </row>
    <row r="264">
      <c r="A264" s="24"/>
      <c r="D264" s="21"/>
      <c r="E264" s="21"/>
    </row>
    <row r="265">
      <c r="A265" s="24"/>
      <c r="D265" s="21"/>
      <c r="E265" s="21"/>
    </row>
    <row r="266">
      <c r="A266" s="24"/>
      <c r="D266" s="21"/>
      <c r="E266" s="21"/>
    </row>
    <row r="267">
      <c r="A267" s="24"/>
      <c r="D267" s="21"/>
      <c r="E267" s="21"/>
    </row>
    <row r="268">
      <c r="A268" s="24"/>
      <c r="D268" s="21"/>
      <c r="E268" s="21"/>
    </row>
    <row r="269">
      <c r="A269" s="24"/>
      <c r="D269" s="21"/>
      <c r="E269" s="21"/>
    </row>
    <row r="270">
      <c r="A270" s="24"/>
      <c r="D270" s="21"/>
      <c r="E270" s="21"/>
    </row>
    <row r="271">
      <c r="A271" s="24"/>
      <c r="D271" s="21"/>
      <c r="E271" s="21"/>
    </row>
    <row r="272">
      <c r="A272" s="24"/>
      <c r="D272" s="21"/>
      <c r="E272" s="21"/>
    </row>
    <row r="273">
      <c r="A273" s="24"/>
      <c r="D273" s="21"/>
      <c r="E273" s="21"/>
    </row>
    <row r="274">
      <c r="A274" s="24"/>
      <c r="D274" s="21"/>
      <c r="E274" s="21"/>
    </row>
    <row r="275">
      <c r="A275" s="24"/>
      <c r="D275" s="21"/>
      <c r="E275" s="21"/>
    </row>
    <row r="276">
      <c r="A276" s="24"/>
      <c r="D276" s="21"/>
      <c r="E276" s="21"/>
    </row>
    <row r="277">
      <c r="A277" s="24"/>
      <c r="D277" s="21"/>
      <c r="E277" s="21"/>
    </row>
    <row r="278">
      <c r="A278" s="24"/>
      <c r="D278" s="21"/>
      <c r="E278" s="21"/>
    </row>
    <row r="279">
      <c r="A279" s="24"/>
      <c r="D279" s="21"/>
      <c r="E279" s="21"/>
    </row>
    <row r="280">
      <c r="A280" s="24"/>
      <c r="D280" s="21"/>
      <c r="E280" s="21"/>
    </row>
    <row r="281">
      <c r="A281" s="24"/>
      <c r="D281" s="21"/>
      <c r="E281" s="21"/>
    </row>
    <row r="282">
      <c r="A282" s="24"/>
      <c r="D282" s="21"/>
      <c r="E282" s="21"/>
    </row>
    <row r="283">
      <c r="A283" s="24"/>
      <c r="D283" s="21"/>
      <c r="E283" s="21"/>
    </row>
    <row r="284">
      <c r="A284" s="24"/>
      <c r="D284" s="21"/>
      <c r="E284" s="21"/>
    </row>
    <row r="285">
      <c r="A285" s="24"/>
      <c r="D285" s="21"/>
      <c r="E285" s="21"/>
    </row>
    <row r="286">
      <c r="A286" s="24"/>
      <c r="D286" s="21"/>
      <c r="E286" s="21"/>
    </row>
    <row r="287">
      <c r="A287" s="24"/>
      <c r="D287" s="21"/>
      <c r="E287" s="21"/>
    </row>
    <row r="288">
      <c r="A288" s="24"/>
      <c r="D288" s="21"/>
      <c r="E288" s="21"/>
    </row>
    <row r="289">
      <c r="A289" s="24"/>
      <c r="D289" s="21"/>
      <c r="E289" s="21"/>
    </row>
    <row r="290">
      <c r="A290" s="24"/>
      <c r="D290" s="21"/>
      <c r="E290" s="21"/>
    </row>
    <row r="291">
      <c r="A291" s="24"/>
      <c r="D291" s="21"/>
      <c r="E291" s="21"/>
    </row>
    <row r="292">
      <c r="A292" s="24"/>
      <c r="D292" s="21"/>
      <c r="E292" s="21"/>
    </row>
    <row r="293">
      <c r="A293" s="24"/>
      <c r="D293" s="21"/>
      <c r="E293" s="21"/>
    </row>
    <row r="294">
      <c r="A294" s="24"/>
      <c r="D294" s="21"/>
      <c r="E294" s="21"/>
    </row>
    <row r="295">
      <c r="A295" s="24"/>
      <c r="D295" s="21"/>
      <c r="E295" s="21"/>
    </row>
    <row r="296">
      <c r="A296" s="24"/>
      <c r="D296" s="21"/>
      <c r="E296" s="21"/>
    </row>
    <row r="297">
      <c r="A297" s="24"/>
      <c r="D297" s="21"/>
      <c r="E297" s="21"/>
    </row>
    <row r="298">
      <c r="A298" s="24"/>
      <c r="D298" s="21"/>
      <c r="E298" s="21"/>
    </row>
    <row r="299">
      <c r="A299" s="24"/>
      <c r="D299" s="21"/>
      <c r="E299" s="21"/>
    </row>
    <row r="300">
      <c r="A300" s="24"/>
      <c r="D300" s="21"/>
      <c r="E300" s="21"/>
    </row>
    <row r="301">
      <c r="A301" s="24"/>
      <c r="D301" s="21"/>
      <c r="E301" s="21"/>
    </row>
    <row r="302">
      <c r="A302" s="24"/>
      <c r="D302" s="21"/>
      <c r="E302" s="21"/>
    </row>
    <row r="303">
      <c r="A303" s="24"/>
      <c r="D303" s="21"/>
      <c r="E303" s="21"/>
    </row>
    <row r="304">
      <c r="A304" s="24"/>
      <c r="D304" s="21"/>
      <c r="E304" s="21"/>
    </row>
    <row r="305">
      <c r="A305" s="24"/>
      <c r="D305" s="21"/>
      <c r="E305" s="21"/>
    </row>
    <row r="306">
      <c r="A306" s="24"/>
      <c r="D306" s="21"/>
      <c r="E306" s="21"/>
    </row>
    <row r="307">
      <c r="A307" s="24"/>
      <c r="D307" s="21"/>
      <c r="E307" s="21"/>
    </row>
    <row r="308">
      <c r="A308" s="24"/>
      <c r="D308" s="21"/>
      <c r="E308" s="21"/>
    </row>
    <row r="309">
      <c r="A309" s="24"/>
      <c r="D309" s="21"/>
      <c r="E309" s="21"/>
    </row>
    <row r="310">
      <c r="A310" s="24"/>
      <c r="D310" s="21"/>
      <c r="E310" s="21"/>
    </row>
    <row r="311">
      <c r="A311" s="24"/>
      <c r="D311" s="21"/>
      <c r="E311" s="21"/>
    </row>
    <row r="312">
      <c r="A312" s="24"/>
      <c r="D312" s="21"/>
      <c r="E312" s="21"/>
    </row>
    <row r="313">
      <c r="A313" s="24"/>
      <c r="D313" s="21"/>
      <c r="E313" s="21"/>
    </row>
    <row r="314">
      <c r="A314" s="24"/>
      <c r="D314" s="21"/>
      <c r="E314" s="21"/>
    </row>
    <row r="315">
      <c r="A315" s="24"/>
      <c r="D315" s="21"/>
      <c r="E315" s="21"/>
    </row>
    <row r="316">
      <c r="A316" s="24"/>
      <c r="D316" s="21"/>
      <c r="E316" s="21"/>
    </row>
    <row r="317">
      <c r="A317" s="24"/>
      <c r="D317" s="21"/>
      <c r="E317" s="21"/>
    </row>
    <row r="318">
      <c r="A318" s="24"/>
      <c r="D318" s="21"/>
      <c r="E318" s="21"/>
    </row>
    <row r="319">
      <c r="A319" s="24"/>
      <c r="D319" s="21"/>
      <c r="E319" s="21"/>
    </row>
    <row r="320">
      <c r="A320" s="24"/>
      <c r="D320" s="21"/>
      <c r="E320" s="21"/>
    </row>
    <row r="321">
      <c r="A321" s="24"/>
      <c r="D321" s="21"/>
      <c r="E321" s="21"/>
    </row>
    <row r="322">
      <c r="A322" s="24"/>
      <c r="D322" s="21"/>
      <c r="E322" s="21"/>
    </row>
    <row r="323">
      <c r="A323" s="24"/>
      <c r="D323" s="21"/>
      <c r="E323" s="21"/>
    </row>
    <row r="324">
      <c r="A324" s="24"/>
      <c r="D324" s="21"/>
      <c r="E324" s="21"/>
    </row>
    <row r="325">
      <c r="A325" s="24"/>
      <c r="D325" s="21"/>
      <c r="E325" s="21"/>
    </row>
    <row r="326">
      <c r="A326" s="24"/>
      <c r="D326" s="21"/>
      <c r="E326" s="21"/>
    </row>
    <row r="327">
      <c r="A327" s="24"/>
      <c r="D327" s="21"/>
      <c r="E327" s="21"/>
    </row>
    <row r="328">
      <c r="A328" s="24"/>
      <c r="D328" s="21"/>
      <c r="E328" s="21"/>
    </row>
    <row r="329">
      <c r="A329" s="24"/>
      <c r="D329" s="21"/>
      <c r="E329" s="21"/>
    </row>
    <row r="330">
      <c r="A330" s="24"/>
      <c r="D330" s="21"/>
      <c r="E330" s="21"/>
    </row>
    <row r="331">
      <c r="A331" s="24"/>
      <c r="D331" s="21"/>
      <c r="E331" s="21"/>
    </row>
    <row r="332">
      <c r="A332" s="24"/>
      <c r="D332" s="21"/>
      <c r="E332" s="21"/>
    </row>
    <row r="333">
      <c r="A333" s="24"/>
      <c r="D333" s="21"/>
      <c r="E333" s="21"/>
    </row>
    <row r="334">
      <c r="A334" s="24"/>
      <c r="D334" s="21"/>
      <c r="E334" s="21"/>
    </row>
    <row r="335">
      <c r="A335" s="24"/>
      <c r="D335" s="21"/>
      <c r="E335" s="21"/>
    </row>
    <row r="336">
      <c r="A336" s="24"/>
      <c r="D336" s="21"/>
      <c r="E336" s="21"/>
    </row>
    <row r="337">
      <c r="A337" s="24"/>
      <c r="D337" s="21"/>
      <c r="E337" s="21"/>
    </row>
    <row r="338">
      <c r="A338" s="24"/>
      <c r="D338" s="21"/>
      <c r="E338" s="21"/>
    </row>
    <row r="339">
      <c r="A339" s="24"/>
      <c r="D339" s="21"/>
      <c r="E339" s="21"/>
    </row>
    <row r="340">
      <c r="A340" s="24"/>
      <c r="D340" s="21"/>
      <c r="E340" s="21"/>
    </row>
    <row r="341">
      <c r="A341" s="24"/>
      <c r="D341" s="21"/>
      <c r="E341" s="21"/>
    </row>
    <row r="342">
      <c r="A342" s="24"/>
      <c r="D342" s="21"/>
      <c r="E342" s="21"/>
    </row>
    <row r="343">
      <c r="A343" s="24"/>
      <c r="D343" s="21"/>
      <c r="E343" s="21"/>
    </row>
    <row r="344">
      <c r="A344" s="24"/>
      <c r="D344" s="21"/>
      <c r="E344" s="21"/>
    </row>
    <row r="345">
      <c r="A345" s="24"/>
      <c r="D345" s="21"/>
      <c r="E345" s="21"/>
    </row>
    <row r="346">
      <c r="A346" s="24"/>
      <c r="D346" s="21"/>
      <c r="E346" s="21"/>
    </row>
    <row r="347">
      <c r="A347" s="24"/>
      <c r="D347" s="21"/>
      <c r="E347" s="21"/>
    </row>
    <row r="348">
      <c r="A348" s="24"/>
      <c r="D348" s="21"/>
      <c r="E348" s="21"/>
    </row>
    <row r="349">
      <c r="A349" s="24"/>
      <c r="D349" s="21"/>
      <c r="E349" s="21"/>
    </row>
    <row r="350">
      <c r="A350" s="24"/>
      <c r="D350" s="21"/>
      <c r="E350" s="21"/>
    </row>
    <row r="351">
      <c r="A351" s="24"/>
      <c r="D351" s="21"/>
      <c r="E351" s="21"/>
    </row>
    <row r="352">
      <c r="A352" s="24"/>
      <c r="D352" s="21"/>
      <c r="E352" s="21"/>
    </row>
    <row r="353">
      <c r="A353" s="24"/>
      <c r="D353" s="21"/>
      <c r="E353" s="21"/>
    </row>
    <row r="354">
      <c r="A354" s="24"/>
      <c r="D354" s="21"/>
      <c r="E354" s="21"/>
    </row>
    <row r="355">
      <c r="A355" s="24"/>
      <c r="D355" s="21"/>
      <c r="E355" s="21"/>
    </row>
    <row r="356">
      <c r="A356" s="24"/>
      <c r="D356" s="21"/>
      <c r="E356" s="21"/>
    </row>
    <row r="357">
      <c r="A357" s="24"/>
      <c r="D357" s="21"/>
      <c r="E357" s="21"/>
    </row>
    <row r="358">
      <c r="A358" s="24"/>
      <c r="D358" s="21"/>
      <c r="E358" s="21"/>
    </row>
    <row r="359">
      <c r="A359" s="24"/>
      <c r="D359" s="21"/>
      <c r="E359" s="21"/>
    </row>
    <row r="360">
      <c r="A360" s="24"/>
      <c r="D360" s="21"/>
      <c r="E360" s="21"/>
    </row>
    <row r="361">
      <c r="A361" s="24"/>
      <c r="D361" s="21"/>
      <c r="E361" s="21"/>
    </row>
    <row r="362">
      <c r="A362" s="24"/>
      <c r="D362" s="21"/>
      <c r="E362" s="21"/>
    </row>
    <row r="363">
      <c r="A363" s="24"/>
      <c r="D363" s="21"/>
      <c r="E363" s="21"/>
    </row>
    <row r="364">
      <c r="A364" s="24"/>
      <c r="D364" s="21"/>
      <c r="E364" s="21"/>
    </row>
    <row r="365">
      <c r="A365" s="24"/>
      <c r="D365" s="21"/>
      <c r="E365" s="21"/>
    </row>
    <row r="366">
      <c r="A366" s="24"/>
      <c r="D366" s="21"/>
      <c r="E366" s="21"/>
    </row>
    <row r="367">
      <c r="A367" s="24"/>
      <c r="D367" s="21"/>
      <c r="E367" s="21"/>
    </row>
    <row r="368">
      <c r="A368" s="24"/>
      <c r="D368" s="21"/>
      <c r="E368" s="21"/>
    </row>
    <row r="369">
      <c r="A369" s="24"/>
      <c r="D369" s="21"/>
      <c r="E369" s="21"/>
    </row>
    <row r="370">
      <c r="A370" s="24"/>
      <c r="D370" s="21"/>
      <c r="E370" s="21"/>
    </row>
    <row r="371">
      <c r="A371" s="24"/>
      <c r="D371" s="21"/>
      <c r="E371" s="21"/>
    </row>
    <row r="372">
      <c r="A372" s="24"/>
      <c r="D372" s="21"/>
      <c r="E372" s="21"/>
    </row>
    <row r="373">
      <c r="A373" s="24"/>
      <c r="D373" s="21"/>
      <c r="E373" s="21"/>
    </row>
    <row r="374">
      <c r="A374" s="24"/>
      <c r="D374" s="21"/>
      <c r="E374" s="21"/>
    </row>
    <row r="375">
      <c r="A375" s="24"/>
      <c r="D375" s="21"/>
      <c r="E375" s="21"/>
    </row>
    <row r="376">
      <c r="A376" s="24"/>
      <c r="D376" s="21"/>
      <c r="E376" s="21"/>
    </row>
    <row r="377">
      <c r="A377" s="24"/>
      <c r="D377" s="21"/>
      <c r="E377" s="21"/>
    </row>
    <row r="378">
      <c r="A378" s="24"/>
      <c r="D378" s="21"/>
      <c r="E378" s="21"/>
    </row>
    <row r="379">
      <c r="A379" s="24"/>
      <c r="D379" s="21"/>
      <c r="E379" s="21"/>
    </row>
    <row r="380">
      <c r="A380" s="24"/>
      <c r="D380" s="21"/>
      <c r="E380" s="21"/>
    </row>
    <row r="381">
      <c r="A381" s="24"/>
      <c r="D381" s="21"/>
      <c r="E381" s="21"/>
    </row>
    <row r="382">
      <c r="A382" s="24"/>
      <c r="D382" s="21"/>
      <c r="E382" s="21"/>
    </row>
    <row r="383">
      <c r="A383" s="24"/>
      <c r="D383" s="21"/>
      <c r="E383" s="21"/>
    </row>
    <row r="384">
      <c r="A384" s="24"/>
      <c r="D384" s="21"/>
      <c r="E384" s="21"/>
    </row>
    <row r="385">
      <c r="A385" s="24"/>
      <c r="D385" s="21"/>
      <c r="E385" s="21"/>
    </row>
    <row r="386">
      <c r="A386" s="24"/>
      <c r="D386" s="21"/>
      <c r="E386" s="21"/>
    </row>
    <row r="387">
      <c r="A387" s="24"/>
      <c r="D387" s="21"/>
      <c r="E387" s="21"/>
    </row>
    <row r="388">
      <c r="A388" s="24"/>
      <c r="D388" s="21"/>
      <c r="E388" s="21"/>
    </row>
    <row r="389">
      <c r="A389" s="24"/>
      <c r="D389" s="21"/>
      <c r="E389" s="21"/>
    </row>
    <row r="390">
      <c r="A390" s="24"/>
      <c r="D390" s="21"/>
      <c r="E390" s="21"/>
    </row>
    <row r="391">
      <c r="A391" s="24"/>
      <c r="D391" s="21"/>
      <c r="E391" s="21"/>
    </row>
    <row r="392">
      <c r="A392" s="24"/>
      <c r="D392" s="21"/>
      <c r="E392" s="21"/>
    </row>
    <row r="393">
      <c r="A393" s="24"/>
      <c r="D393" s="21"/>
      <c r="E393" s="21"/>
    </row>
    <row r="394">
      <c r="A394" s="24"/>
      <c r="D394" s="21"/>
      <c r="E394" s="21"/>
    </row>
    <row r="395">
      <c r="A395" s="24"/>
      <c r="D395" s="21"/>
      <c r="E395" s="21"/>
    </row>
    <row r="396">
      <c r="A396" s="24"/>
      <c r="D396" s="21"/>
      <c r="E396" s="21"/>
    </row>
    <row r="397">
      <c r="A397" s="24"/>
      <c r="D397" s="21"/>
      <c r="E397" s="21"/>
    </row>
    <row r="398">
      <c r="A398" s="24"/>
      <c r="D398" s="21"/>
      <c r="E398" s="21"/>
    </row>
    <row r="399">
      <c r="A399" s="24"/>
      <c r="D399" s="21"/>
      <c r="E399" s="21"/>
    </row>
    <row r="400">
      <c r="A400" s="24"/>
      <c r="D400" s="21"/>
      <c r="E400" s="21"/>
    </row>
    <row r="401">
      <c r="A401" s="24"/>
      <c r="D401" s="21"/>
      <c r="E401" s="21"/>
    </row>
    <row r="402">
      <c r="A402" s="24"/>
      <c r="D402" s="21"/>
      <c r="E402" s="21"/>
    </row>
    <row r="403">
      <c r="A403" s="24"/>
      <c r="D403" s="21"/>
      <c r="E403" s="21"/>
    </row>
    <row r="404">
      <c r="A404" s="24"/>
      <c r="D404" s="21"/>
      <c r="E404" s="21"/>
    </row>
    <row r="405">
      <c r="A405" s="24"/>
      <c r="D405" s="21"/>
      <c r="E405" s="21"/>
    </row>
    <row r="406">
      <c r="A406" s="24"/>
      <c r="D406" s="21"/>
      <c r="E406" s="21"/>
    </row>
    <row r="407">
      <c r="A407" s="24"/>
      <c r="D407" s="21"/>
      <c r="E407" s="21"/>
    </row>
    <row r="408">
      <c r="A408" s="24"/>
      <c r="D408" s="21"/>
      <c r="E408" s="21"/>
    </row>
    <row r="409">
      <c r="A409" s="24"/>
      <c r="D409" s="21"/>
      <c r="E409" s="21"/>
    </row>
    <row r="410">
      <c r="A410" s="24"/>
      <c r="D410" s="21"/>
      <c r="E410" s="21"/>
    </row>
    <row r="411">
      <c r="A411" s="24"/>
      <c r="D411" s="21"/>
      <c r="E411" s="21"/>
    </row>
    <row r="412">
      <c r="A412" s="24"/>
      <c r="D412" s="21"/>
      <c r="E412" s="21"/>
    </row>
    <row r="413">
      <c r="A413" s="24"/>
      <c r="D413" s="21"/>
      <c r="E413" s="21"/>
    </row>
    <row r="414">
      <c r="A414" s="24"/>
      <c r="D414" s="21"/>
      <c r="E414" s="21"/>
    </row>
    <row r="415">
      <c r="A415" s="24"/>
      <c r="D415" s="21"/>
      <c r="E415" s="21"/>
    </row>
    <row r="416">
      <c r="A416" s="24"/>
      <c r="D416" s="21"/>
      <c r="E416" s="21"/>
    </row>
    <row r="417">
      <c r="A417" s="24"/>
      <c r="D417" s="21"/>
      <c r="E417" s="21"/>
    </row>
    <row r="418">
      <c r="A418" s="24"/>
      <c r="D418" s="21"/>
      <c r="E418" s="21"/>
    </row>
    <row r="419">
      <c r="A419" s="24"/>
      <c r="D419" s="21"/>
      <c r="E419" s="21"/>
    </row>
    <row r="420">
      <c r="A420" s="24"/>
      <c r="D420" s="21"/>
      <c r="E420" s="21"/>
    </row>
    <row r="421">
      <c r="A421" s="24"/>
      <c r="D421" s="21"/>
      <c r="E421" s="21"/>
    </row>
    <row r="422">
      <c r="A422" s="24"/>
      <c r="D422" s="21"/>
      <c r="E422" s="21"/>
    </row>
    <row r="423">
      <c r="A423" s="24"/>
      <c r="D423" s="21"/>
      <c r="E423" s="21"/>
    </row>
    <row r="424">
      <c r="A424" s="24"/>
      <c r="D424" s="21"/>
      <c r="E424" s="21"/>
    </row>
    <row r="425">
      <c r="A425" s="24"/>
      <c r="D425" s="21"/>
      <c r="E425" s="21"/>
    </row>
    <row r="426">
      <c r="A426" s="24"/>
      <c r="D426" s="21"/>
      <c r="E426" s="21"/>
    </row>
    <row r="427">
      <c r="A427" s="24"/>
      <c r="D427" s="21"/>
      <c r="E427" s="21"/>
    </row>
    <row r="428">
      <c r="A428" s="24"/>
      <c r="D428" s="21"/>
      <c r="E428" s="21"/>
    </row>
    <row r="429">
      <c r="A429" s="24"/>
      <c r="D429" s="21"/>
      <c r="E429" s="21"/>
    </row>
    <row r="430">
      <c r="A430" s="24"/>
      <c r="D430" s="21"/>
      <c r="E430" s="21"/>
    </row>
    <row r="431">
      <c r="A431" s="24"/>
      <c r="D431" s="21"/>
      <c r="E431" s="21"/>
    </row>
    <row r="432">
      <c r="A432" s="24"/>
      <c r="D432" s="21"/>
      <c r="E432" s="21"/>
    </row>
    <row r="433">
      <c r="A433" s="24"/>
      <c r="D433" s="21"/>
      <c r="E433" s="21"/>
    </row>
    <row r="434">
      <c r="A434" s="24"/>
      <c r="D434" s="21"/>
      <c r="E434" s="21"/>
    </row>
    <row r="435">
      <c r="A435" s="24"/>
      <c r="D435" s="21"/>
      <c r="E435" s="21"/>
    </row>
    <row r="436">
      <c r="A436" s="24"/>
      <c r="D436" s="21"/>
      <c r="E436" s="21"/>
    </row>
    <row r="437">
      <c r="A437" s="24"/>
      <c r="D437" s="21"/>
      <c r="E437" s="21"/>
    </row>
    <row r="438">
      <c r="A438" s="24"/>
      <c r="D438" s="21"/>
      <c r="E438" s="21"/>
    </row>
    <row r="439">
      <c r="A439" s="24"/>
      <c r="D439" s="21"/>
      <c r="E439" s="21"/>
    </row>
    <row r="440">
      <c r="A440" s="24"/>
      <c r="D440" s="21"/>
      <c r="E440" s="21"/>
    </row>
    <row r="441">
      <c r="A441" s="24"/>
      <c r="D441" s="21"/>
      <c r="E441" s="21"/>
    </row>
    <row r="442">
      <c r="A442" s="24"/>
      <c r="D442" s="21"/>
      <c r="E442" s="21"/>
    </row>
    <row r="443">
      <c r="A443" s="24"/>
      <c r="D443" s="21"/>
      <c r="E443" s="21"/>
    </row>
    <row r="444">
      <c r="A444" s="24"/>
      <c r="D444" s="21"/>
      <c r="E444" s="21"/>
    </row>
    <row r="445">
      <c r="A445" s="24"/>
      <c r="D445" s="21"/>
      <c r="E445" s="21"/>
    </row>
    <row r="446">
      <c r="A446" s="24"/>
      <c r="D446" s="21"/>
      <c r="E446" s="21"/>
    </row>
    <row r="447">
      <c r="A447" s="24"/>
      <c r="D447" s="21"/>
      <c r="E447" s="21"/>
    </row>
    <row r="448">
      <c r="A448" s="24"/>
      <c r="D448" s="21"/>
      <c r="E448" s="21"/>
    </row>
    <row r="449">
      <c r="A449" s="24"/>
      <c r="D449" s="21"/>
      <c r="E449" s="21"/>
    </row>
    <row r="450">
      <c r="A450" s="24"/>
      <c r="D450" s="21"/>
      <c r="E450" s="21"/>
    </row>
    <row r="451">
      <c r="A451" s="24"/>
      <c r="D451" s="21"/>
      <c r="E451" s="21"/>
    </row>
    <row r="452">
      <c r="A452" s="24"/>
      <c r="D452" s="21"/>
      <c r="E452" s="21"/>
    </row>
    <row r="453">
      <c r="A453" s="24"/>
      <c r="D453" s="21"/>
      <c r="E453" s="21"/>
    </row>
    <row r="454">
      <c r="A454" s="24"/>
      <c r="D454" s="21"/>
      <c r="E454" s="21"/>
    </row>
    <row r="455">
      <c r="A455" s="24"/>
      <c r="D455" s="21"/>
      <c r="E455" s="21"/>
    </row>
    <row r="456">
      <c r="A456" s="24"/>
      <c r="D456" s="21"/>
      <c r="E456" s="21"/>
    </row>
    <row r="457">
      <c r="A457" s="24"/>
      <c r="D457" s="21"/>
      <c r="E457" s="21"/>
    </row>
    <row r="458">
      <c r="A458" s="24"/>
      <c r="D458" s="21"/>
      <c r="E458" s="21"/>
    </row>
    <row r="459">
      <c r="A459" s="24"/>
      <c r="D459" s="21"/>
      <c r="E459" s="21"/>
    </row>
    <row r="460">
      <c r="A460" s="24"/>
      <c r="D460" s="21"/>
      <c r="E460" s="21"/>
    </row>
    <row r="461">
      <c r="A461" s="24"/>
      <c r="D461" s="21"/>
      <c r="E461" s="21"/>
    </row>
    <row r="462">
      <c r="A462" s="24"/>
      <c r="D462" s="21"/>
      <c r="E462" s="21"/>
    </row>
    <row r="463">
      <c r="A463" s="24"/>
      <c r="D463" s="21"/>
      <c r="E463" s="21"/>
    </row>
    <row r="464">
      <c r="A464" s="24"/>
      <c r="D464" s="21"/>
      <c r="E464" s="21"/>
    </row>
    <row r="465">
      <c r="A465" s="24"/>
      <c r="D465" s="21"/>
      <c r="E465" s="21"/>
    </row>
    <row r="466">
      <c r="A466" s="24"/>
      <c r="D466" s="21"/>
      <c r="E466" s="21"/>
    </row>
    <row r="467">
      <c r="A467" s="24"/>
      <c r="D467" s="21"/>
      <c r="E467" s="21"/>
    </row>
    <row r="468">
      <c r="A468" s="24"/>
      <c r="D468" s="21"/>
      <c r="E468" s="21"/>
    </row>
    <row r="469">
      <c r="A469" s="24"/>
      <c r="D469" s="21"/>
      <c r="E469" s="21"/>
    </row>
    <row r="470">
      <c r="A470" s="24"/>
      <c r="D470" s="21"/>
      <c r="E470" s="21"/>
    </row>
    <row r="471">
      <c r="A471" s="24"/>
      <c r="D471" s="21"/>
      <c r="E471" s="21"/>
    </row>
    <row r="472">
      <c r="A472" s="24"/>
      <c r="D472" s="21"/>
      <c r="E472" s="21"/>
    </row>
    <row r="473">
      <c r="A473" s="24"/>
      <c r="D473" s="21"/>
      <c r="E473" s="21"/>
    </row>
    <row r="474">
      <c r="A474" s="24"/>
      <c r="D474" s="21"/>
      <c r="E474" s="21"/>
    </row>
    <row r="475">
      <c r="A475" s="24"/>
      <c r="D475" s="21"/>
      <c r="E475" s="21"/>
    </row>
    <row r="476">
      <c r="A476" s="24"/>
      <c r="D476" s="21"/>
      <c r="E476" s="21"/>
    </row>
    <row r="477">
      <c r="A477" s="24"/>
      <c r="D477" s="21"/>
      <c r="E477" s="21"/>
    </row>
    <row r="478">
      <c r="A478" s="24"/>
      <c r="D478" s="21"/>
      <c r="E478" s="21"/>
    </row>
    <row r="479">
      <c r="A479" s="24"/>
      <c r="D479" s="21"/>
      <c r="E479" s="21"/>
    </row>
    <row r="480">
      <c r="A480" s="24"/>
      <c r="D480" s="21"/>
      <c r="E480" s="21"/>
    </row>
    <row r="481">
      <c r="A481" s="24"/>
      <c r="D481" s="21"/>
      <c r="E481" s="21"/>
    </row>
    <row r="482">
      <c r="A482" s="24"/>
      <c r="D482" s="21"/>
      <c r="E482" s="21"/>
    </row>
    <row r="483">
      <c r="A483" s="24"/>
      <c r="D483" s="21"/>
      <c r="E483" s="21"/>
    </row>
    <row r="484">
      <c r="A484" s="24"/>
      <c r="D484" s="21"/>
      <c r="E484" s="21"/>
    </row>
    <row r="485">
      <c r="A485" s="24"/>
      <c r="D485" s="21"/>
      <c r="E485" s="21"/>
    </row>
    <row r="486">
      <c r="A486" s="24"/>
      <c r="D486" s="21"/>
      <c r="E486" s="21"/>
    </row>
    <row r="487">
      <c r="A487" s="24"/>
      <c r="D487" s="21"/>
      <c r="E487" s="21"/>
    </row>
    <row r="488">
      <c r="A488" s="24"/>
      <c r="D488" s="21"/>
      <c r="E488" s="21"/>
    </row>
    <row r="489">
      <c r="A489" s="24"/>
      <c r="D489" s="21"/>
      <c r="E489" s="21"/>
    </row>
    <row r="490">
      <c r="A490" s="24"/>
      <c r="D490" s="21"/>
      <c r="E490" s="21"/>
    </row>
    <row r="491">
      <c r="A491" s="24"/>
      <c r="D491" s="21"/>
      <c r="E491" s="21"/>
    </row>
    <row r="492">
      <c r="A492" s="24"/>
      <c r="D492" s="21"/>
      <c r="E492" s="21"/>
    </row>
    <row r="493">
      <c r="A493" s="24"/>
      <c r="D493" s="21"/>
      <c r="E493" s="21"/>
    </row>
    <row r="494">
      <c r="A494" s="24"/>
      <c r="D494" s="21"/>
      <c r="E494" s="21"/>
    </row>
    <row r="495">
      <c r="A495" s="24"/>
      <c r="D495" s="21"/>
      <c r="E495" s="21"/>
    </row>
    <row r="496">
      <c r="A496" s="24"/>
      <c r="D496" s="21"/>
      <c r="E496" s="21"/>
    </row>
    <row r="497">
      <c r="A497" s="24"/>
      <c r="D497" s="21"/>
      <c r="E497" s="21"/>
    </row>
    <row r="498">
      <c r="A498" s="24"/>
      <c r="D498" s="21"/>
      <c r="E498" s="21"/>
    </row>
    <row r="499">
      <c r="A499" s="24"/>
      <c r="D499" s="21"/>
      <c r="E499" s="21"/>
    </row>
    <row r="500">
      <c r="A500" s="24"/>
      <c r="D500" s="21"/>
      <c r="E500" s="21"/>
    </row>
    <row r="501">
      <c r="A501" s="24"/>
      <c r="D501" s="21"/>
      <c r="E501" s="21"/>
    </row>
    <row r="502">
      <c r="A502" s="24"/>
      <c r="D502" s="21"/>
      <c r="E502" s="21"/>
    </row>
    <row r="503">
      <c r="A503" s="24"/>
      <c r="D503" s="21"/>
      <c r="E503" s="21"/>
    </row>
    <row r="504">
      <c r="A504" s="24"/>
      <c r="D504" s="21"/>
      <c r="E504" s="21"/>
    </row>
    <row r="505">
      <c r="A505" s="24"/>
      <c r="D505" s="21"/>
      <c r="E505" s="21"/>
    </row>
    <row r="506">
      <c r="A506" s="24"/>
      <c r="D506" s="21"/>
      <c r="E506" s="21"/>
    </row>
    <row r="507">
      <c r="A507" s="24"/>
      <c r="D507" s="21"/>
      <c r="E507" s="21"/>
    </row>
    <row r="508">
      <c r="A508" s="24"/>
      <c r="D508" s="21"/>
      <c r="E508" s="21"/>
    </row>
    <row r="509">
      <c r="A509" s="24"/>
      <c r="D509" s="21"/>
      <c r="E509" s="21"/>
    </row>
    <row r="510">
      <c r="A510" s="24"/>
      <c r="D510" s="21"/>
      <c r="E510" s="21"/>
    </row>
    <row r="511">
      <c r="A511" s="24"/>
      <c r="D511" s="21"/>
      <c r="E511" s="21"/>
    </row>
    <row r="512">
      <c r="A512" s="24"/>
      <c r="D512" s="21"/>
      <c r="E512" s="21"/>
    </row>
    <row r="513">
      <c r="A513" s="24"/>
      <c r="D513" s="21"/>
      <c r="E513" s="21"/>
    </row>
    <row r="514">
      <c r="A514" s="24"/>
      <c r="D514" s="21"/>
      <c r="E514" s="21"/>
    </row>
    <row r="515">
      <c r="A515" s="24"/>
      <c r="D515" s="21"/>
      <c r="E515" s="21"/>
    </row>
    <row r="516">
      <c r="A516" s="24"/>
      <c r="D516" s="21"/>
      <c r="E516" s="21"/>
    </row>
    <row r="517">
      <c r="A517" s="24"/>
      <c r="D517" s="21"/>
      <c r="E517" s="21"/>
    </row>
    <row r="518">
      <c r="A518" s="24"/>
      <c r="D518" s="21"/>
      <c r="E518" s="21"/>
    </row>
    <row r="519">
      <c r="A519" s="24"/>
      <c r="D519" s="21"/>
      <c r="E519" s="21"/>
    </row>
    <row r="520">
      <c r="A520" s="24"/>
      <c r="D520" s="21"/>
      <c r="E520" s="21"/>
    </row>
    <row r="521">
      <c r="A521" s="24"/>
      <c r="D521" s="21"/>
      <c r="E521" s="21"/>
    </row>
    <row r="522">
      <c r="A522" s="24"/>
      <c r="D522" s="21"/>
      <c r="E522" s="21"/>
    </row>
    <row r="523">
      <c r="A523" s="24"/>
      <c r="D523" s="21"/>
      <c r="E523" s="21"/>
    </row>
    <row r="524">
      <c r="A524" s="24"/>
      <c r="D524" s="21"/>
      <c r="E524" s="21"/>
    </row>
    <row r="525">
      <c r="A525" s="24"/>
      <c r="D525" s="21"/>
      <c r="E525" s="21"/>
    </row>
    <row r="526">
      <c r="A526" s="24"/>
      <c r="D526" s="21"/>
      <c r="E526" s="21"/>
    </row>
    <row r="527">
      <c r="A527" s="24"/>
      <c r="D527" s="21"/>
      <c r="E527" s="21"/>
    </row>
    <row r="528">
      <c r="A528" s="24"/>
      <c r="D528" s="21"/>
      <c r="E528" s="21"/>
    </row>
    <row r="529">
      <c r="A529" s="24"/>
      <c r="D529" s="21"/>
      <c r="E529" s="21"/>
    </row>
    <row r="530">
      <c r="A530" s="24"/>
      <c r="D530" s="21"/>
      <c r="E530" s="21"/>
    </row>
    <row r="531">
      <c r="A531" s="24"/>
      <c r="D531" s="21"/>
      <c r="E531" s="21"/>
    </row>
    <row r="532">
      <c r="A532" s="24"/>
      <c r="D532" s="21"/>
      <c r="E532" s="21"/>
    </row>
    <row r="533">
      <c r="A533" s="24"/>
      <c r="D533" s="21"/>
      <c r="E533" s="21"/>
    </row>
    <row r="534">
      <c r="A534" s="24"/>
      <c r="D534" s="21"/>
      <c r="E534" s="21"/>
    </row>
    <row r="535">
      <c r="A535" s="24"/>
      <c r="D535" s="21"/>
      <c r="E535" s="21"/>
    </row>
    <row r="536">
      <c r="A536" s="24"/>
      <c r="D536" s="21"/>
      <c r="E536" s="21"/>
    </row>
    <row r="537">
      <c r="A537" s="24"/>
      <c r="D537" s="21"/>
      <c r="E537" s="21"/>
    </row>
    <row r="538">
      <c r="A538" s="24"/>
      <c r="D538" s="21"/>
      <c r="E538" s="21"/>
    </row>
    <row r="539">
      <c r="A539" s="24"/>
      <c r="D539" s="21"/>
      <c r="E539" s="21"/>
    </row>
    <row r="540">
      <c r="A540" s="24"/>
      <c r="D540" s="21"/>
      <c r="E540" s="21"/>
    </row>
    <row r="541">
      <c r="A541" s="24"/>
      <c r="D541" s="21"/>
      <c r="E541" s="21"/>
    </row>
    <row r="542">
      <c r="A542" s="24"/>
      <c r="D542" s="21"/>
      <c r="E542" s="21"/>
    </row>
    <row r="543">
      <c r="A543" s="24"/>
      <c r="D543" s="21"/>
      <c r="E543" s="21"/>
    </row>
    <row r="544">
      <c r="A544" s="24"/>
      <c r="D544" s="21"/>
      <c r="E544" s="21"/>
    </row>
    <row r="545">
      <c r="A545" s="24"/>
      <c r="D545" s="21"/>
      <c r="E545" s="21"/>
    </row>
    <row r="546">
      <c r="A546" s="24"/>
      <c r="D546" s="21"/>
      <c r="E546" s="21"/>
    </row>
    <row r="547">
      <c r="A547" s="24"/>
      <c r="D547" s="21"/>
      <c r="E547" s="21"/>
    </row>
    <row r="548">
      <c r="A548" s="24"/>
      <c r="D548" s="21"/>
      <c r="E548" s="21"/>
    </row>
    <row r="549">
      <c r="A549" s="24"/>
      <c r="D549" s="21"/>
      <c r="E549" s="21"/>
    </row>
    <row r="550">
      <c r="A550" s="24"/>
      <c r="D550" s="21"/>
      <c r="E550" s="21"/>
    </row>
    <row r="551">
      <c r="A551" s="24"/>
      <c r="D551" s="21"/>
      <c r="E551" s="21"/>
    </row>
    <row r="552">
      <c r="A552" s="24"/>
      <c r="D552" s="21"/>
      <c r="E552" s="21"/>
    </row>
    <row r="553">
      <c r="A553" s="24"/>
      <c r="D553" s="21"/>
      <c r="E553" s="21"/>
    </row>
    <row r="554">
      <c r="A554" s="24"/>
      <c r="D554" s="21"/>
      <c r="E554" s="21"/>
    </row>
    <row r="555">
      <c r="A555" s="24"/>
      <c r="D555" s="21"/>
      <c r="E555" s="21"/>
    </row>
    <row r="556">
      <c r="A556" s="24"/>
      <c r="D556" s="21"/>
      <c r="E556" s="21"/>
    </row>
    <row r="557">
      <c r="A557" s="24"/>
      <c r="D557" s="21"/>
      <c r="E557" s="21"/>
    </row>
    <row r="558">
      <c r="A558" s="24"/>
      <c r="D558" s="21"/>
      <c r="E558" s="21"/>
    </row>
    <row r="559">
      <c r="A559" s="24"/>
      <c r="D559" s="21"/>
      <c r="E559" s="21"/>
    </row>
    <row r="560">
      <c r="A560" s="24"/>
      <c r="D560" s="21"/>
      <c r="E560" s="21"/>
    </row>
    <row r="561">
      <c r="A561" s="24"/>
      <c r="D561" s="21"/>
      <c r="E561" s="21"/>
    </row>
    <row r="562">
      <c r="A562" s="24"/>
      <c r="D562" s="21"/>
      <c r="E562" s="21"/>
    </row>
    <row r="563">
      <c r="A563" s="24"/>
      <c r="D563" s="21"/>
      <c r="E563" s="21"/>
    </row>
    <row r="564">
      <c r="A564" s="24"/>
      <c r="D564" s="21"/>
      <c r="E564" s="21"/>
    </row>
    <row r="565">
      <c r="A565" s="24"/>
      <c r="D565" s="21"/>
      <c r="E565" s="21"/>
    </row>
    <row r="566">
      <c r="A566" s="24"/>
      <c r="D566" s="21"/>
      <c r="E566" s="21"/>
    </row>
    <row r="567">
      <c r="A567" s="24"/>
      <c r="D567" s="21"/>
      <c r="E567" s="21"/>
    </row>
    <row r="568">
      <c r="A568" s="24"/>
      <c r="D568" s="21"/>
      <c r="E568" s="21"/>
    </row>
    <row r="569">
      <c r="A569" s="24"/>
      <c r="D569" s="21"/>
      <c r="E569" s="21"/>
    </row>
    <row r="570">
      <c r="A570" s="24"/>
      <c r="D570" s="21"/>
      <c r="E570" s="21"/>
    </row>
    <row r="571">
      <c r="A571" s="24"/>
      <c r="D571" s="21"/>
      <c r="E571" s="21"/>
    </row>
    <row r="572">
      <c r="A572" s="24"/>
      <c r="D572" s="21"/>
      <c r="E572" s="21"/>
    </row>
    <row r="573">
      <c r="A573" s="24"/>
      <c r="D573" s="21"/>
      <c r="E573" s="21"/>
    </row>
    <row r="574">
      <c r="A574" s="24"/>
      <c r="D574" s="21"/>
      <c r="E574" s="21"/>
    </row>
    <row r="575">
      <c r="A575" s="24"/>
      <c r="D575" s="21"/>
      <c r="E575" s="21"/>
    </row>
    <row r="576">
      <c r="A576" s="24"/>
      <c r="D576" s="21"/>
      <c r="E576" s="21"/>
    </row>
    <row r="577">
      <c r="A577" s="24"/>
      <c r="D577" s="21"/>
      <c r="E577" s="21"/>
    </row>
    <row r="578">
      <c r="A578" s="24"/>
      <c r="D578" s="21"/>
      <c r="E578" s="21"/>
    </row>
    <row r="579">
      <c r="A579" s="24"/>
      <c r="D579" s="21"/>
      <c r="E579" s="21"/>
    </row>
    <row r="580">
      <c r="A580" s="24"/>
      <c r="D580" s="21"/>
      <c r="E580" s="21"/>
    </row>
    <row r="581">
      <c r="A581" s="24"/>
      <c r="D581" s="21"/>
      <c r="E581" s="21"/>
    </row>
    <row r="582">
      <c r="A582" s="24"/>
      <c r="D582" s="21"/>
      <c r="E582" s="21"/>
    </row>
    <row r="583">
      <c r="A583" s="24"/>
      <c r="D583" s="21"/>
      <c r="E583" s="21"/>
    </row>
    <row r="584">
      <c r="A584" s="24"/>
      <c r="D584" s="21"/>
      <c r="E584" s="21"/>
    </row>
    <row r="585">
      <c r="A585" s="24"/>
      <c r="D585" s="21"/>
      <c r="E585" s="21"/>
    </row>
    <row r="586">
      <c r="A586" s="24"/>
      <c r="D586" s="21"/>
      <c r="E586" s="21"/>
    </row>
    <row r="587">
      <c r="A587" s="24"/>
      <c r="D587" s="21"/>
      <c r="E587" s="21"/>
    </row>
    <row r="588">
      <c r="A588" s="24"/>
      <c r="D588" s="21"/>
      <c r="E588" s="21"/>
    </row>
    <row r="589">
      <c r="A589" s="24"/>
      <c r="D589" s="21"/>
      <c r="E589" s="21"/>
    </row>
    <row r="590">
      <c r="A590" s="24"/>
      <c r="D590" s="21"/>
      <c r="E590" s="21"/>
    </row>
    <row r="591">
      <c r="A591" s="24"/>
      <c r="D591" s="21"/>
      <c r="E591" s="21"/>
    </row>
    <row r="592">
      <c r="A592" s="24"/>
      <c r="D592" s="21"/>
      <c r="E592" s="21"/>
    </row>
    <row r="593">
      <c r="A593" s="24"/>
      <c r="D593" s="21"/>
      <c r="E593" s="21"/>
    </row>
    <row r="594">
      <c r="A594" s="24"/>
      <c r="D594" s="21"/>
      <c r="E594" s="21"/>
    </row>
    <row r="595">
      <c r="A595" s="24"/>
      <c r="D595" s="21"/>
      <c r="E595" s="21"/>
    </row>
    <row r="596">
      <c r="A596" s="24"/>
      <c r="D596" s="21"/>
      <c r="E596" s="21"/>
    </row>
    <row r="597">
      <c r="A597" s="24"/>
      <c r="D597" s="21"/>
      <c r="E597" s="21"/>
    </row>
    <row r="598">
      <c r="A598" s="24"/>
      <c r="D598" s="21"/>
      <c r="E598" s="21"/>
    </row>
    <row r="599">
      <c r="A599" s="24"/>
      <c r="D599" s="21"/>
      <c r="E599" s="21"/>
    </row>
    <row r="600">
      <c r="A600" s="24"/>
      <c r="D600" s="21"/>
      <c r="E600" s="21"/>
    </row>
    <row r="601">
      <c r="A601" s="24"/>
      <c r="D601" s="21"/>
      <c r="E601" s="21"/>
    </row>
    <row r="602">
      <c r="A602" s="24"/>
      <c r="D602" s="21"/>
      <c r="E602" s="21"/>
    </row>
    <row r="603">
      <c r="A603" s="24"/>
      <c r="D603" s="21"/>
      <c r="E603" s="21"/>
    </row>
    <row r="604">
      <c r="A604" s="24"/>
      <c r="D604" s="21"/>
      <c r="E604" s="21"/>
    </row>
    <row r="605">
      <c r="A605" s="24"/>
      <c r="D605" s="21"/>
      <c r="E605" s="21"/>
    </row>
    <row r="606">
      <c r="A606" s="24"/>
      <c r="D606" s="21"/>
      <c r="E606" s="21"/>
    </row>
    <row r="607">
      <c r="A607" s="24"/>
      <c r="D607" s="21"/>
      <c r="E607" s="21"/>
    </row>
    <row r="608">
      <c r="A608" s="24"/>
      <c r="D608" s="21"/>
      <c r="E608" s="21"/>
    </row>
    <row r="609">
      <c r="A609" s="24"/>
      <c r="D609" s="21"/>
      <c r="E609" s="21"/>
    </row>
    <row r="610">
      <c r="A610" s="24"/>
      <c r="D610" s="21"/>
      <c r="E610" s="21"/>
    </row>
    <row r="611">
      <c r="A611" s="24"/>
      <c r="D611" s="21"/>
      <c r="E611" s="21"/>
    </row>
    <row r="612">
      <c r="A612" s="24"/>
      <c r="D612" s="21"/>
      <c r="E612" s="21"/>
    </row>
    <row r="613">
      <c r="A613" s="24"/>
      <c r="D613" s="21"/>
      <c r="E613" s="21"/>
    </row>
    <row r="614">
      <c r="A614" s="24"/>
      <c r="D614" s="21"/>
      <c r="E614" s="21"/>
    </row>
    <row r="615">
      <c r="A615" s="24"/>
      <c r="D615" s="21"/>
      <c r="E615" s="21"/>
    </row>
    <row r="616">
      <c r="A616" s="24"/>
      <c r="D616" s="21"/>
      <c r="E616" s="21"/>
    </row>
    <row r="617">
      <c r="A617" s="24"/>
      <c r="D617" s="21"/>
      <c r="E617" s="21"/>
    </row>
    <row r="618">
      <c r="A618" s="24"/>
      <c r="D618" s="21"/>
      <c r="E618" s="21"/>
    </row>
    <row r="619">
      <c r="A619" s="24"/>
      <c r="D619" s="21"/>
      <c r="E619" s="21"/>
    </row>
    <row r="620">
      <c r="A620" s="24"/>
      <c r="D620" s="21"/>
      <c r="E620" s="21"/>
    </row>
    <row r="621">
      <c r="A621" s="24"/>
      <c r="D621" s="21"/>
      <c r="E621" s="21"/>
    </row>
    <row r="622">
      <c r="A622" s="24"/>
      <c r="D622" s="21"/>
      <c r="E622" s="21"/>
    </row>
    <row r="623">
      <c r="A623" s="24"/>
      <c r="D623" s="21"/>
      <c r="E623" s="21"/>
    </row>
    <row r="624">
      <c r="A624" s="24"/>
      <c r="D624" s="21"/>
      <c r="E624" s="21"/>
    </row>
    <row r="625">
      <c r="A625" s="24"/>
      <c r="D625" s="21"/>
      <c r="E625" s="21"/>
    </row>
    <row r="626">
      <c r="A626" s="24"/>
      <c r="D626" s="21"/>
      <c r="E626" s="21"/>
    </row>
    <row r="627">
      <c r="A627" s="24"/>
      <c r="D627" s="21"/>
      <c r="E627" s="21"/>
    </row>
    <row r="628">
      <c r="A628" s="24"/>
      <c r="D628" s="21"/>
      <c r="E628" s="21"/>
    </row>
    <row r="629">
      <c r="A629" s="24"/>
      <c r="D629" s="21"/>
      <c r="E629" s="21"/>
    </row>
    <row r="630">
      <c r="A630" s="24"/>
      <c r="D630" s="21"/>
      <c r="E630" s="21"/>
    </row>
    <row r="631">
      <c r="A631" s="24"/>
      <c r="D631" s="21"/>
      <c r="E631" s="21"/>
    </row>
    <row r="632">
      <c r="A632" s="24"/>
      <c r="D632" s="21"/>
      <c r="E632" s="21"/>
    </row>
    <row r="633">
      <c r="A633" s="24"/>
      <c r="D633" s="21"/>
      <c r="E633" s="21"/>
    </row>
    <row r="634">
      <c r="A634" s="24"/>
      <c r="D634" s="21"/>
      <c r="E634" s="21"/>
    </row>
    <row r="635">
      <c r="A635" s="24"/>
      <c r="D635" s="21"/>
      <c r="E635" s="21"/>
    </row>
    <row r="636">
      <c r="A636" s="24"/>
      <c r="D636" s="21"/>
      <c r="E636" s="21"/>
    </row>
    <row r="637">
      <c r="A637" s="24"/>
      <c r="D637" s="21"/>
      <c r="E637" s="21"/>
    </row>
    <row r="638">
      <c r="A638" s="24"/>
      <c r="D638" s="21"/>
      <c r="E638" s="21"/>
    </row>
    <row r="639">
      <c r="A639" s="24"/>
      <c r="D639" s="21"/>
      <c r="E639" s="21"/>
    </row>
    <row r="640">
      <c r="A640" s="24"/>
      <c r="D640" s="21"/>
      <c r="E640" s="21"/>
    </row>
    <row r="641">
      <c r="A641" s="24"/>
      <c r="D641" s="21"/>
      <c r="E641" s="21"/>
    </row>
    <row r="642">
      <c r="A642" s="24"/>
      <c r="D642" s="21"/>
      <c r="E642" s="21"/>
    </row>
    <row r="643">
      <c r="A643" s="24"/>
      <c r="D643" s="21"/>
      <c r="E643" s="21"/>
    </row>
    <row r="644">
      <c r="A644" s="24"/>
      <c r="D644" s="21"/>
      <c r="E644" s="21"/>
    </row>
    <row r="645">
      <c r="A645" s="24"/>
      <c r="D645" s="21"/>
      <c r="E645" s="21"/>
    </row>
    <row r="646">
      <c r="A646" s="24"/>
      <c r="D646" s="21"/>
      <c r="E646" s="21"/>
    </row>
    <row r="647">
      <c r="A647" s="24"/>
      <c r="D647" s="21"/>
      <c r="E647" s="21"/>
    </row>
    <row r="648">
      <c r="A648" s="24"/>
      <c r="D648" s="21"/>
      <c r="E648" s="21"/>
    </row>
    <row r="649">
      <c r="A649" s="24"/>
      <c r="D649" s="21"/>
      <c r="E649" s="21"/>
    </row>
    <row r="650">
      <c r="A650" s="24"/>
      <c r="D650" s="21"/>
      <c r="E650" s="21"/>
    </row>
    <row r="651">
      <c r="A651" s="24"/>
      <c r="D651" s="21"/>
      <c r="E651" s="21"/>
    </row>
    <row r="652">
      <c r="A652" s="24"/>
      <c r="D652" s="21"/>
      <c r="E652" s="21"/>
    </row>
    <row r="653">
      <c r="A653" s="24"/>
      <c r="D653" s="21"/>
      <c r="E653" s="21"/>
    </row>
    <row r="654">
      <c r="A654" s="24"/>
      <c r="D654" s="21"/>
      <c r="E654" s="21"/>
    </row>
    <row r="655">
      <c r="A655" s="24"/>
      <c r="D655" s="21"/>
      <c r="E655" s="21"/>
    </row>
    <row r="656">
      <c r="A656" s="24"/>
      <c r="D656" s="21"/>
      <c r="E656" s="21"/>
    </row>
    <row r="657">
      <c r="A657" s="24"/>
      <c r="D657" s="21"/>
      <c r="E657" s="21"/>
    </row>
    <row r="658">
      <c r="A658" s="24"/>
      <c r="D658" s="21"/>
      <c r="E658" s="21"/>
    </row>
    <row r="659">
      <c r="A659" s="24"/>
      <c r="D659" s="21"/>
      <c r="E659" s="21"/>
    </row>
    <row r="660">
      <c r="A660" s="24"/>
      <c r="D660" s="21"/>
      <c r="E660" s="21"/>
    </row>
    <row r="661">
      <c r="A661" s="24"/>
      <c r="D661" s="21"/>
      <c r="E661" s="21"/>
    </row>
    <row r="662">
      <c r="A662" s="24"/>
      <c r="D662" s="21"/>
      <c r="E662" s="21"/>
    </row>
    <row r="663">
      <c r="A663" s="24"/>
      <c r="D663" s="21"/>
      <c r="E663" s="21"/>
    </row>
    <row r="664">
      <c r="A664" s="24"/>
      <c r="D664" s="21"/>
      <c r="E664" s="21"/>
    </row>
    <row r="665">
      <c r="A665" s="24"/>
      <c r="D665" s="21"/>
      <c r="E665" s="21"/>
    </row>
    <row r="666">
      <c r="A666" s="24"/>
      <c r="D666" s="21"/>
      <c r="E666" s="21"/>
    </row>
    <row r="667">
      <c r="A667" s="24"/>
      <c r="D667" s="21"/>
      <c r="E667" s="21"/>
    </row>
    <row r="668">
      <c r="A668" s="24"/>
      <c r="D668" s="21"/>
      <c r="E668" s="21"/>
    </row>
    <row r="669">
      <c r="A669" s="24"/>
      <c r="D669" s="21"/>
      <c r="E669" s="21"/>
    </row>
    <row r="670">
      <c r="A670" s="24"/>
      <c r="D670" s="21"/>
      <c r="E670" s="21"/>
    </row>
    <row r="671">
      <c r="A671" s="24"/>
      <c r="D671" s="21"/>
      <c r="E671" s="21"/>
    </row>
    <row r="672">
      <c r="A672" s="24"/>
      <c r="D672" s="21"/>
      <c r="E672" s="21"/>
    </row>
    <row r="673">
      <c r="A673" s="24"/>
      <c r="D673" s="21"/>
      <c r="E673" s="21"/>
    </row>
    <row r="674">
      <c r="A674" s="24"/>
      <c r="D674" s="21"/>
      <c r="E674" s="21"/>
    </row>
    <row r="675">
      <c r="A675" s="24"/>
      <c r="D675" s="21"/>
      <c r="E675" s="21"/>
    </row>
    <row r="676">
      <c r="A676" s="24"/>
      <c r="D676" s="21"/>
      <c r="E676" s="21"/>
    </row>
    <row r="677">
      <c r="A677" s="24"/>
      <c r="D677" s="21"/>
      <c r="E677" s="21"/>
    </row>
    <row r="678">
      <c r="A678" s="24"/>
      <c r="D678" s="21"/>
      <c r="E678" s="21"/>
    </row>
    <row r="679">
      <c r="A679" s="24"/>
      <c r="D679" s="21"/>
      <c r="E679" s="21"/>
    </row>
    <row r="680">
      <c r="A680" s="24"/>
      <c r="D680" s="21"/>
      <c r="E680" s="21"/>
    </row>
    <row r="681">
      <c r="A681" s="24"/>
      <c r="D681" s="21"/>
      <c r="E681" s="21"/>
    </row>
    <row r="682">
      <c r="A682" s="24"/>
      <c r="D682" s="21"/>
      <c r="E682" s="21"/>
    </row>
    <row r="683">
      <c r="A683" s="24"/>
      <c r="D683" s="21"/>
      <c r="E683" s="21"/>
    </row>
    <row r="684">
      <c r="A684" s="24"/>
      <c r="D684" s="21"/>
      <c r="E684" s="21"/>
    </row>
    <row r="685">
      <c r="A685" s="24"/>
      <c r="D685" s="21"/>
      <c r="E685" s="21"/>
    </row>
    <row r="686">
      <c r="A686" s="24"/>
      <c r="D686" s="21"/>
      <c r="E686" s="21"/>
    </row>
    <row r="687">
      <c r="A687" s="24"/>
      <c r="D687" s="21"/>
      <c r="E687" s="21"/>
    </row>
    <row r="688">
      <c r="A688" s="24"/>
      <c r="D688" s="21"/>
      <c r="E688" s="21"/>
    </row>
    <row r="689">
      <c r="A689" s="24"/>
      <c r="D689" s="21"/>
      <c r="E689" s="21"/>
    </row>
    <row r="690">
      <c r="A690" s="24"/>
      <c r="D690" s="21"/>
      <c r="E690" s="21"/>
    </row>
    <row r="691">
      <c r="A691" s="24"/>
      <c r="D691" s="21"/>
      <c r="E691" s="21"/>
    </row>
    <row r="692">
      <c r="A692" s="24"/>
      <c r="D692" s="21"/>
      <c r="E692" s="21"/>
    </row>
    <row r="693">
      <c r="A693" s="24"/>
      <c r="D693" s="21"/>
      <c r="E693" s="21"/>
    </row>
    <row r="694">
      <c r="A694" s="24"/>
      <c r="D694" s="21"/>
      <c r="E694" s="21"/>
    </row>
    <row r="695">
      <c r="A695" s="24"/>
      <c r="D695" s="21"/>
      <c r="E695" s="21"/>
    </row>
    <row r="696">
      <c r="A696" s="24"/>
      <c r="D696" s="21"/>
      <c r="E696" s="21"/>
    </row>
    <row r="697">
      <c r="A697" s="24"/>
      <c r="D697" s="21"/>
      <c r="E697" s="21"/>
    </row>
    <row r="698">
      <c r="A698" s="24"/>
      <c r="D698" s="21"/>
      <c r="E698" s="21"/>
    </row>
    <row r="699">
      <c r="A699" s="24"/>
      <c r="D699" s="21"/>
      <c r="E699" s="21"/>
    </row>
    <row r="700">
      <c r="A700" s="24"/>
      <c r="D700" s="21"/>
      <c r="E700" s="21"/>
    </row>
    <row r="701">
      <c r="A701" s="24"/>
      <c r="D701" s="21"/>
      <c r="E701" s="21"/>
    </row>
    <row r="702">
      <c r="A702" s="24"/>
      <c r="D702" s="21"/>
      <c r="E702" s="21"/>
    </row>
    <row r="703">
      <c r="A703" s="24"/>
      <c r="D703" s="21"/>
      <c r="E703" s="21"/>
    </row>
    <row r="704">
      <c r="A704" s="24"/>
      <c r="D704" s="21"/>
      <c r="E704" s="21"/>
    </row>
    <row r="705">
      <c r="A705" s="24"/>
      <c r="D705" s="21"/>
      <c r="E705" s="21"/>
    </row>
    <row r="706">
      <c r="A706" s="24"/>
      <c r="D706" s="21"/>
      <c r="E706" s="21"/>
    </row>
    <row r="707">
      <c r="A707" s="24"/>
      <c r="D707" s="21"/>
      <c r="E707" s="21"/>
    </row>
    <row r="708">
      <c r="A708" s="24"/>
      <c r="D708" s="21"/>
      <c r="E708" s="21"/>
    </row>
    <row r="709">
      <c r="A709" s="24"/>
      <c r="D709" s="21"/>
      <c r="E709" s="21"/>
    </row>
    <row r="710">
      <c r="A710" s="24"/>
      <c r="D710" s="21"/>
      <c r="E710" s="21"/>
    </row>
    <row r="711">
      <c r="A711" s="24"/>
      <c r="D711" s="21"/>
      <c r="E711" s="21"/>
    </row>
    <row r="712">
      <c r="A712" s="24"/>
      <c r="D712" s="21"/>
      <c r="E712" s="21"/>
    </row>
    <row r="713">
      <c r="A713" s="24"/>
      <c r="D713" s="21"/>
      <c r="E713" s="21"/>
    </row>
    <row r="714">
      <c r="A714" s="24"/>
      <c r="D714" s="21"/>
      <c r="E714" s="21"/>
    </row>
    <row r="715">
      <c r="A715" s="24"/>
      <c r="D715" s="21"/>
      <c r="E715" s="21"/>
    </row>
    <row r="716">
      <c r="A716" s="24"/>
      <c r="D716" s="21"/>
      <c r="E716" s="21"/>
    </row>
    <row r="717">
      <c r="A717" s="24"/>
      <c r="D717" s="21"/>
      <c r="E717" s="21"/>
    </row>
    <row r="718">
      <c r="A718" s="24"/>
      <c r="D718" s="21"/>
      <c r="E718" s="21"/>
    </row>
    <row r="719">
      <c r="A719" s="24"/>
      <c r="D719" s="21"/>
      <c r="E719" s="21"/>
    </row>
    <row r="720">
      <c r="A720" s="24"/>
      <c r="D720" s="21"/>
      <c r="E720" s="21"/>
    </row>
    <row r="721">
      <c r="A721" s="24"/>
      <c r="D721" s="21"/>
      <c r="E721" s="21"/>
    </row>
    <row r="722">
      <c r="A722" s="24"/>
      <c r="D722" s="21"/>
      <c r="E722" s="21"/>
    </row>
    <row r="723">
      <c r="A723" s="24"/>
      <c r="D723" s="21"/>
      <c r="E723" s="21"/>
    </row>
    <row r="724">
      <c r="A724" s="24"/>
      <c r="D724" s="21"/>
      <c r="E724" s="21"/>
    </row>
    <row r="725">
      <c r="A725" s="24"/>
      <c r="D725" s="21"/>
      <c r="E725" s="21"/>
    </row>
    <row r="726">
      <c r="A726" s="24"/>
      <c r="D726" s="21"/>
      <c r="E726" s="21"/>
    </row>
    <row r="727">
      <c r="A727" s="24"/>
      <c r="D727" s="21"/>
      <c r="E727" s="21"/>
    </row>
    <row r="728">
      <c r="A728" s="24"/>
      <c r="D728" s="21"/>
      <c r="E728" s="21"/>
    </row>
    <row r="729">
      <c r="A729" s="24"/>
      <c r="D729" s="21"/>
      <c r="E729" s="21"/>
    </row>
    <row r="730">
      <c r="A730" s="24"/>
      <c r="D730" s="21"/>
      <c r="E730" s="21"/>
    </row>
    <row r="731">
      <c r="A731" s="24"/>
      <c r="D731" s="21"/>
      <c r="E731" s="21"/>
    </row>
    <row r="732">
      <c r="A732" s="24"/>
      <c r="D732" s="21"/>
      <c r="E732" s="21"/>
    </row>
    <row r="733">
      <c r="A733" s="24"/>
      <c r="D733" s="21"/>
      <c r="E733" s="21"/>
    </row>
    <row r="734">
      <c r="A734" s="24"/>
      <c r="D734" s="21"/>
      <c r="E734" s="21"/>
    </row>
    <row r="735">
      <c r="A735" s="24"/>
      <c r="D735" s="21"/>
      <c r="E735" s="21"/>
    </row>
    <row r="736">
      <c r="A736" s="24"/>
      <c r="D736" s="21"/>
      <c r="E736" s="21"/>
    </row>
    <row r="737">
      <c r="A737" s="24"/>
      <c r="D737" s="21"/>
      <c r="E737" s="21"/>
    </row>
    <row r="738">
      <c r="A738" s="24"/>
      <c r="D738" s="21"/>
      <c r="E738" s="21"/>
    </row>
    <row r="739">
      <c r="A739" s="24"/>
      <c r="D739" s="21"/>
      <c r="E739" s="21"/>
    </row>
    <row r="740">
      <c r="A740" s="24"/>
      <c r="D740" s="21"/>
      <c r="E740" s="21"/>
    </row>
    <row r="741">
      <c r="A741" s="24"/>
      <c r="D741" s="21"/>
      <c r="E741" s="21"/>
    </row>
    <row r="742">
      <c r="A742" s="24"/>
      <c r="D742" s="21"/>
      <c r="E742" s="21"/>
    </row>
    <row r="743">
      <c r="A743" s="24"/>
      <c r="D743" s="21"/>
      <c r="E743" s="21"/>
    </row>
    <row r="744">
      <c r="A744" s="24"/>
      <c r="D744" s="21"/>
      <c r="E744" s="21"/>
    </row>
    <row r="745">
      <c r="A745" s="24"/>
      <c r="D745" s="21"/>
      <c r="E745" s="21"/>
    </row>
    <row r="746">
      <c r="A746" s="24"/>
      <c r="D746" s="21"/>
      <c r="E746" s="21"/>
    </row>
    <row r="747">
      <c r="A747" s="24"/>
      <c r="D747" s="21"/>
      <c r="E747" s="21"/>
    </row>
    <row r="748">
      <c r="A748" s="24"/>
      <c r="D748" s="21"/>
      <c r="E748" s="21"/>
    </row>
    <row r="749">
      <c r="A749" s="24"/>
      <c r="D749" s="21"/>
      <c r="E749" s="21"/>
    </row>
    <row r="750">
      <c r="A750" s="24"/>
      <c r="D750" s="21"/>
      <c r="E750" s="21"/>
    </row>
    <row r="751">
      <c r="A751" s="24"/>
      <c r="D751" s="21"/>
      <c r="E751" s="21"/>
    </row>
    <row r="752">
      <c r="A752" s="24"/>
      <c r="D752" s="21"/>
      <c r="E752" s="21"/>
    </row>
    <row r="753">
      <c r="A753" s="24"/>
      <c r="D753" s="21"/>
      <c r="E753" s="21"/>
    </row>
    <row r="754">
      <c r="A754" s="24"/>
      <c r="D754" s="21"/>
      <c r="E754" s="21"/>
    </row>
    <row r="755">
      <c r="A755" s="24"/>
      <c r="D755" s="21"/>
      <c r="E755" s="21"/>
    </row>
    <row r="756">
      <c r="A756" s="24"/>
      <c r="D756" s="21"/>
      <c r="E756" s="21"/>
    </row>
    <row r="757">
      <c r="A757" s="24"/>
      <c r="D757" s="21"/>
      <c r="E757" s="21"/>
    </row>
    <row r="758">
      <c r="A758" s="24"/>
      <c r="D758" s="21"/>
      <c r="E758" s="21"/>
    </row>
    <row r="759">
      <c r="A759" s="24"/>
      <c r="D759" s="21"/>
      <c r="E759" s="21"/>
    </row>
    <row r="760">
      <c r="A760" s="24"/>
      <c r="D760" s="21"/>
      <c r="E760" s="21"/>
    </row>
    <row r="761">
      <c r="A761" s="24"/>
      <c r="D761" s="21"/>
      <c r="E761" s="21"/>
    </row>
    <row r="762">
      <c r="A762" s="24"/>
      <c r="D762" s="21"/>
      <c r="E762" s="21"/>
    </row>
    <row r="763">
      <c r="A763" s="24"/>
      <c r="D763" s="21"/>
      <c r="E763" s="21"/>
    </row>
    <row r="764">
      <c r="A764" s="24"/>
      <c r="D764" s="21"/>
      <c r="E764" s="21"/>
    </row>
    <row r="765">
      <c r="A765" s="24"/>
      <c r="D765" s="21"/>
      <c r="E765" s="21"/>
    </row>
    <row r="766">
      <c r="A766" s="24"/>
      <c r="D766" s="21"/>
      <c r="E766" s="21"/>
    </row>
    <row r="767">
      <c r="A767" s="24"/>
      <c r="D767" s="21"/>
      <c r="E767" s="21"/>
    </row>
    <row r="768">
      <c r="A768" s="24"/>
      <c r="D768" s="21"/>
      <c r="E768" s="21"/>
    </row>
    <row r="769">
      <c r="A769" s="24"/>
      <c r="D769" s="21"/>
      <c r="E769" s="21"/>
    </row>
    <row r="770">
      <c r="A770" s="24"/>
      <c r="D770" s="21"/>
      <c r="E770" s="21"/>
    </row>
    <row r="771">
      <c r="A771" s="24"/>
      <c r="D771" s="21"/>
      <c r="E771" s="21"/>
    </row>
    <row r="772">
      <c r="A772" s="24"/>
      <c r="D772" s="21"/>
      <c r="E772" s="21"/>
    </row>
    <row r="773">
      <c r="A773" s="24"/>
      <c r="D773" s="21"/>
      <c r="E773" s="21"/>
    </row>
    <row r="774">
      <c r="A774" s="24"/>
      <c r="D774" s="21"/>
      <c r="E774" s="21"/>
    </row>
    <row r="775">
      <c r="A775" s="24"/>
      <c r="D775" s="21"/>
      <c r="E775" s="21"/>
    </row>
    <row r="776">
      <c r="A776" s="24"/>
      <c r="D776" s="21"/>
      <c r="E776" s="21"/>
    </row>
    <row r="777">
      <c r="A777" s="24"/>
      <c r="D777" s="21"/>
      <c r="E777" s="21"/>
    </row>
    <row r="778">
      <c r="A778" s="24"/>
      <c r="D778" s="21"/>
      <c r="E778" s="21"/>
    </row>
    <row r="779">
      <c r="A779" s="24"/>
      <c r="D779" s="21"/>
      <c r="E779" s="21"/>
    </row>
    <row r="780">
      <c r="A780" s="24"/>
      <c r="D780" s="21"/>
      <c r="E780" s="21"/>
    </row>
    <row r="781">
      <c r="A781" s="24"/>
      <c r="D781" s="21"/>
      <c r="E781" s="21"/>
    </row>
    <row r="782">
      <c r="A782" s="24"/>
      <c r="D782" s="21"/>
      <c r="E782" s="21"/>
    </row>
    <row r="783">
      <c r="A783" s="24"/>
      <c r="D783" s="21"/>
      <c r="E783" s="21"/>
    </row>
    <row r="784">
      <c r="A784" s="24"/>
      <c r="D784" s="21"/>
      <c r="E784" s="21"/>
    </row>
    <row r="785">
      <c r="A785" s="24"/>
      <c r="D785" s="21"/>
      <c r="E785" s="21"/>
    </row>
    <row r="786">
      <c r="A786" s="24"/>
      <c r="D786" s="21"/>
      <c r="E786" s="21"/>
    </row>
    <row r="787">
      <c r="A787" s="24"/>
      <c r="D787" s="21"/>
      <c r="E787" s="21"/>
    </row>
    <row r="788">
      <c r="A788" s="24"/>
      <c r="D788" s="21"/>
      <c r="E788" s="21"/>
    </row>
    <row r="789">
      <c r="A789" s="24"/>
      <c r="D789" s="21"/>
      <c r="E789" s="21"/>
    </row>
    <row r="790">
      <c r="A790" s="24"/>
      <c r="D790" s="21"/>
      <c r="E790" s="21"/>
    </row>
    <row r="791">
      <c r="A791" s="24"/>
      <c r="D791" s="21"/>
      <c r="E791" s="21"/>
    </row>
    <row r="792">
      <c r="A792" s="24"/>
      <c r="D792" s="21"/>
      <c r="E792" s="21"/>
    </row>
    <row r="793">
      <c r="A793" s="24"/>
      <c r="D793" s="21"/>
      <c r="E793" s="21"/>
    </row>
    <row r="794">
      <c r="A794" s="24"/>
      <c r="D794" s="21"/>
      <c r="E794" s="21"/>
    </row>
    <row r="795">
      <c r="A795" s="24"/>
      <c r="D795" s="21"/>
      <c r="E795" s="21"/>
    </row>
    <row r="796">
      <c r="A796" s="24"/>
      <c r="D796" s="21"/>
      <c r="E796" s="21"/>
    </row>
    <row r="797">
      <c r="A797" s="24"/>
      <c r="D797" s="21"/>
      <c r="E797" s="21"/>
    </row>
    <row r="798">
      <c r="A798" s="24"/>
      <c r="D798" s="21"/>
      <c r="E798" s="21"/>
    </row>
    <row r="799">
      <c r="A799" s="24"/>
      <c r="D799" s="21"/>
      <c r="E799" s="21"/>
    </row>
    <row r="800">
      <c r="A800" s="24"/>
      <c r="D800" s="21"/>
      <c r="E800" s="21"/>
    </row>
    <row r="801">
      <c r="A801" s="24"/>
      <c r="D801" s="21"/>
      <c r="E801" s="21"/>
    </row>
    <row r="802">
      <c r="A802" s="24"/>
      <c r="D802" s="21"/>
      <c r="E802" s="21"/>
    </row>
    <row r="803">
      <c r="A803" s="24"/>
      <c r="D803" s="21"/>
      <c r="E803" s="21"/>
    </row>
    <row r="804">
      <c r="A804" s="24"/>
      <c r="D804" s="21"/>
      <c r="E804" s="21"/>
    </row>
    <row r="805">
      <c r="A805" s="24"/>
      <c r="D805" s="21"/>
      <c r="E805" s="21"/>
    </row>
    <row r="806">
      <c r="A806" s="24"/>
      <c r="D806" s="21"/>
      <c r="E806" s="21"/>
    </row>
    <row r="807">
      <c r="A807" s="24"/>
      <c r="D807" s="21"/>
      <c r="E807" s="21"/>
    </row>
    <row r="808">
      <c r="A808" s="24"/>
      <c r="D808" s="21"/>
      <c r="E808" s="21"/>
    </row>
    <row r="809">
      <c r="A809" s="24"/>
      <c r="D809" s="21"/>
      <c r="E809" s="21"/>
    </row>
    <row r="810">
      <c r="A810" s="24"/>
      <c r="D810" s="21"/>
      <c r="E810" s="21"/>
    </row>
    <row r="811">
      <c r="A811" s="24"/>
      <c r="D811" s="21"/>
      <c r="E811" s="21"/>
    </row>
    <row r="812">
      <c r="A812" s="24"/>
      <c r="D812" s="21"/>
      <c r="E812" s="21"/>
    </row>
    <row r="813">
      <c r="A813" s="24"/>
      <c r="D813" s="21"/>
      <c r="E813" s="21"/>
    </row>
    <row r="814">
      <c r="A814" s="24"/>
      <c r="D814" s="21"/>
      <c r="E814" s="21"/>
    </row>
    <row r="815">
      <c r="A815" s="24"/>
      <c r="D815" s="21"/>
      <c r="E815" s="21"/>
    </row>
    <row r="816">
      <c r="A816" s="24"/>
      <c r="D816" s="21"/>
      <c r="E816" s="21"/>
    </row>
    <row r="817">
      <c r="A817" s="24"/>
      <c r="D817" s="21"/>
      <c r="E817" s="21"/>
    </row>
    <row r="818">
      <c r="A818" s="24"/>
      <c r="D818" s="21"/>
      <c r="E818" s="21"/>
    </row>
    <row r="819">
      <c r="A819" s="24"/>
      <c r="D819" s="21"/>
      <c r="E819" s="21"/>
    </row>
    <row r="820">
      <c r="A820" s="24"/>
      <c r="D820" s="21"/>
      <c r="E820" s="21"/>
    </row>
    <row r="821">
      <c r="A821" s="24"/>
      <c r="D821" s="21"/>
      <c r="E821" s="21"/>
    </row>
    <row r="822">
      <c r="A822" s="24"/>
      <c r="D822" s="21"/>
      <c r="E822" s="21"/>
    </row>
    <row r="823">
      <c r="A823" s="24"/>
      <c r="D823" s="21"/>
      <c r="E823" s="21"/>
    </row>
    <row r="824">
      <c r="A824" s="24"/>
      <c r="D824" s="21"/>
      <c r="E824" s="21"/>
    </row>
    <row r="825">
      <c r="A825" s="24"/>
      <c r="D825" s="21"/>
      <c r="E825" s="21"/>
    </row>
    <row r="826">
      <c r="A826" s="24"/>
      <c r="D826" s="21"/>
      <c r="E826" s="21"/>
    </row>
    <row r="827">
      <c r="A827" s="24"/>
      <c r="D827" s="21"/>
      <c r="E827" s="21"/>
    </row>
    <row r="828">
      <c r="A828" s="24"/>
      <c r="D828" s="21"/>
      <c r="E828" s="21"/>
    </row>
    <row r="829">
      <c r="A829" s="24"/>
      <c r="D829" s="21"/>
      <c r="E829" s="21"/>
    </row>
    <row r="830">
      <c r="A830" s="24"/>
      <c r="D830" s="21"/>
      <c r="E830" s="21"/>
    </row>
    <row r="831">
      <c r="A831" s="24"/>
      <c r="D831" s="21"/>
      <c r="E831" s="21"/>
    </row>
    <row r="832">
      <c r="A832" s="24"/>
      <c r="D832" s="21"/>
      <c r="E832" s="21"/>
    </row>
    <row r="833">
      <c r="A833" s="24"/>
      <c r="D833" s="21"/>
      <c r="E833" s="21"/>
    </row>
    <row r="834">
      <c r="A834" s="24"/>
      <c r="D834" s="21"/>
      <c r="E834" s="21"/>
    </row>
    <row r="835">
      <c r="A835" s="24"/>
      <c r="D835" s="21"/>
      <c r="E835" s="21"/>
    </row>
    <row r="836">
      <c r="A836" s="24"/>
      <c r="D836" s="21"/>
      <c r="E836" s="21"/>
    </row>
    <row r="837">
      <c r="A837" s="24"/>
      <c r="D837" s="21"/>
      <c r="E837" s="21"/>
    </row>
    <row r="838">
      <c r="A838" s="24"/>
      <c r="D838" s="21"/>
      <c r="E838" s="21"/>
    </row>
    <row r="839">
      <c r="A839" s="24"/>
      <c r="D839" s="21"/>
      <c r="E839" s="21"/>
    </row>
    <row r="840">
      <c r="A840" s="24"/>
      <c r="D840" s="21"/>
      <c r="E840" s="21"/>
    </row>
    <row r="841">
      <c r="A841" s="24"/>
      <c r="D841" s="21"/>
      <c r="E841" s="21"/>
    </row>
    <row r="842">
      <c r="A842" s="24"/>
      <c r="D842" s="21"/>
      <c r="E842" s="21"/>
    </row>
    <row r="843">
      <c r="A843" s="24"/>
      <c r="D843" s="21"/>
      <c r="E843" s="21"/>
    </row>
    <row r="844">
      <c r="A844" s="24"/>
      <c r="D844" s="21"/>
      <c r="E844" s="21"/>
    </row>
    <row r="845">
      <c r="A845" s="24"/>
      <c r="D845" s="21"/>
      <c r="E845" s="21"/>
    </row>
    <row r="846">
      <c r="A846" s="24"/>
      <c r="D846" s="21"/>
      <c r="E846" s="21"/>
    </row>
    <row r="847">
      <c r="A847" s="24"/>
      <c r="D847" s="21"/>
      <c r="E847" s="21"/>
    </row>
    <row r="848">
      <c r="A848" s="24"/>
      <c r="D848" s="21"/>
      <c r="E848" s="21"/>
    </row>
    <row r="849">
      <c r="A849" s="24"/>
      <c r="D849" s="21"/>
      <c r="E849" s="21"/>
    </row>
    <row r="850">
      <c r="A850" s="24"/>
      <c r="D850" s="21"/>
      <c r="E850" s="21"/>
    </row>
    <row r="851">
      <c r="A851" s="24"/>
      <c r="D851" s="21"/>
      <c r="E851" s="21"/>
    </row>
    <row r="852">
      <c r="A852" s="24"/>
      <c r="D852" s="21"/>
      <c r="E852" s="21"/>
    </row>
    <row r="853">
      <c r="A853" s="24"/>
      <c r="D853" s="21"/>
      <c r="E853" s="21"/>
    </row>
    <row r="854">
      <c r="A854" s="24"/>
      <c r="D854" s="21"/>
      <c r="E854" s="21"/>
    </row>
    <row r="855">
      <c r="A855" s="24"/>
      <c r="D855" s="21"/>
      <c r="E855" s="21"/>
    </row>
    <row r="856">
      <c r="A856" s="24"/>
      <c r="D856" s="21"/>
      <c r="E856" s="21"/>
    </row>
    <row r="857">
      <c r="A857" s="24"/>
      <c r="D857" s="21"/>
      <c r="E857" s="21"/>
    </row>
    <row r="858">
      <c r="A858" s="24"/>
      <c r="D858" s="21"/>
      <c r="E858" s="21"/>
    </row>
    <row r="859">
      <c r="A859" s="24"/>
      <c r="D859" s="21"/>
      <c r="E859" s="21"/>
    </row>
    <row r="860">
      <c r="A860" s="24"/>
      <c r="D860" s="21"/>
      <c r="E860" s="21"/>
    </row>
    <row r="861">
      <c r="A861" s="24"/>
      <c r="D861" s="21"/>
      <c r="E861" s="21"/>
    </row>
    <row r="862">
      <c r="A862" s="24"/>
      <c r="D862" s="21"/>
      <c r="E862" s="21"/>
    </row>
    <row r="863">
      <c r="A863" s="24"/>
      <c r="D863" s="21"/>
      <c r="E863" s="21"/>
    </row>
    <row r="864">
      <c r="A864" s="24"/>
      <c r="D864" s="21"/>
      <c r="E864" s="21"/>
    </row>
    <row r="865">
      <c r="A865" s="24"/>
      <c r="D865" s="21"/>
      <c r="E865" s="21"/>
    </row>
    <row r="866">
      <c r="A866" s="24"/>
      <c r="D866" s="21"/>
      <c r="E866" s="21"/>
    </row>
    <row r="867">
      <c r="A867" s="24"/>
      <c r="D867" s="21"/>
      <c r="E867" s="21"/>
    </row>
    <row r="868">
      <c r="A868" s="24"/>
      <c r="D868" s="21"/>
      <c r="E868" s="21"/>
    </row>
    <row r="869">
      <c r="A869" s="24"/>
      <c r="D869" s="21"/>
      <c r="E869" s="21"/>
    </row>
    <row r="870">
      <c r="A870" s="24"/>
      <c r="D870" s="21"/>
      <c r="E870" s="21"/>
    </row>
    <row r="871">
      <c r="A871" s="24"/>
      <c r="D871" s="21"/>
      <c r="E871" s="21"/>
    </row>
    <row r="872">
      <c r="A872" s="24"/>
      <c r="D872" s="21"/>
      <c r="E872" s="21"/>
    </row>
    <row r="873">
      <c r="A873" s="24"/>
      <c r="D873" s="21"/>
      <c r="E873" s="21"/>
    </row>
    <row r="874">
      <c r="A874" s="24"/>
      <c r="D874" s="21"/>
      <c r="E874" s="21"/>
    </row>
    <row r="875">
      <c r="A875" s="24"/>
      <c r="D875" s="21"/>
      <c r="E875" s="21"/>
    </row>
    <row r="876">
      <c r="A876" s="24"/>
      <c r="D876" s="21"/>
      <c r="E876" s="21"/>
    </row>
    <row r="877">
      <c r="A877" s="24"/>
      <c r="D877" s="21"/>
      <c r="E877" s="21"/>
    </row>
    <row r="878">
      <c r="A878" s="24"/>
      <c r="D878" s="21"/>
      <c r="E878" s="21"/>
    </row>
    <row r="879">
      <c r="A879" s="24"/>
      <c r="D879" s="21"/>
      <c r="E879" s="21"/>
    </row>
    <row r="880">
      <c r="A880" s="24"/>
      <c r="D880" s="21"/>
      <c r="E880" s="21"/>
    </row>
    <row r="881">
      <c r="A881" s="24"/>
      <c r="D881" s="21"/>
      <c r="E881" s="21"/>
    </row>
    <row r="882">
      <c r="A882" s="24"/>
      <c r="D882" s="21"/>
      <c r="E882" s="21"/>
    </row>
    <row r="883">
      <c r="A883" s="24"/>
      <c r="D883" s="21"/>
      <c r="E883" s="21"/>
    </row>
    <row r="884">
      <c r="A884" s="24"/>
      <c r="D884" s="21"/>
      <c r="E884" s="21"/>
    </row>
    <row r="885">
      <c r="A885" s="24"/>
      <c r="D885" s="21"/>
      <c r="E885" s="21"/>
    </row>
    <row r="886">
      <c r="A886" s="24"/>
      <c r="D886" s="21"/>
      <c r="E886" s="21"/>
    </row>
    <row r="887">
      <c r="A887" s="24"/>
      <c r="D887" s="21"/>
      <c r="E887" s="21"/>
    </row>
    <row r="888">
      <c r="A888" s="24"/>
      <c r="D888" s="21"/>
      <c r="E888" s="21"/>
    </row>
    <row r="889">
      <c r="A889" s="24"/>
      <c r="D889" s="21"/>
      <c r="E889" s="21"/>
    </row>
    <row r="890">
      <c r="A890" s="24"/>
      <c r="D890" s="21"/>
      <c r="E890" s="21"/>
    </row>
    <row r="891">
      <c r="A891" s="24"/>
      <c r="D891" s="21"/>
      <c r="E891" s="21"/>
    </row>
    <row r="892">
      <c r="A892" s="24"/>
      <c r="D892" s="21"/>
      <c r="E892" s="21"/>
    </row>
    <row r="893">
      <c r="A893" s="24"/>
      <c r="D893" s="21"/>
      <c r="E893" s="21"/>
    </row>
    <row r="894">
      <c r="A894" s="24"/>
      <c r="D894" s="21"/>
      <c r="E894" s="21"/>
    </row>
    <row r="895">
      <c r="A895" s="24"/>
      <c r="D895" s="21"/>
      <c r="E895" s="21"/>
    </row>
    <row r="896">
      <c r="A896" s="24"/>
      <c r="D896" s="21"/>
      <c r="E896" s="21"/>
    </row>
    <row r="897">
      <c r="A897" s="24"/>
      <c r="D897" s="21"/>
      <c r="E897" s="21"/>
    </row>
    <row r="898">
      <c r="A898" s="24"/>
      <c r="D898" s="21"/>
      <c r="E898" s="21"/>
    </row>
    <row r="899">
      <c r="A899" s="24"/>
      <c r="D899" s="21"/>
      <c r="E899" s="21"/>
    </row>
    <row r="900">
      <c r="A900" s="24"/>
      <c r="D900" s="21"/>
      <c r="E900" s="21"/>
    </row>
    <row r="901">
      <c r="A901" s="24"/>
      <c r="D901" s="21"/>
      <c r="E901" s="21"/>
    </row>
    <row r="902">
      <c r="A902" s="24"/>
      <c r="D902" s="21"/>
      <c r="E902" s="21"/>
    </row>
    <row r="903">
      <c r="A903" s="24"/>
      <c r="D903" s="21"/>
      <c r="E903" s="21"/>
    </row>
    <row r="904">
      <c r="A904" s="24"/>
      <c r="D904" s="21"/>
      <c r="E904" s="21"/>
    </row>
    <row r="905">
      <c r="A905" s="24"/>
      <c r="D905" s="21"/>
      <c r="E905" s="21"/>
    </row>
    <row r="906">
      <c r="A906" s="24"/>
      <c r="D906" s="21"/>
      <c r="E906" s="21"/>
    </row>
    <row r="907">
      <c r="A907" s="24"/>
      <c r="D907" s="21"/>
      <c r="E907" s="21"/>
    </row>
    <row r="908">
      <c r="A908" s="24"/>
      <c r="D908" s="21"/>
      <c r="E908" s="21"/>
    </row>
    <row r="909">
      <c r="A909" s="24"/>
      <c r="D909" s="21"/>
      <c r="E909" s="21"/>
    </row>
    <row r="910">
      <c r="A910" s="24"/>
      <c r="D910" s="21"/>
      <c r="E910" s="21"/>
    </row>
    <row r="911">
      <c r="A911" s="24"/>
      <c r="D911" s="21"/>
      <c r="E911" s="21"/>
    </row>
    <row r="912">
      <c r="A912" s="24"/>
      <c r="D912" s="21"/>
      <c r="E912" s="21"/>
    </row>
    <row r="913">
      <c r="A913" s="24"/>
      <c r="D913" s="21"/>
      <c r="E913" s="21"/>
    </row>
    <row r="914">
      <c r="A914" s="24"/>
      <c r="D914" s="21"/>
      <c r="E914" s="21"/>
    </row>
    <row r="915">
      <c r="A915" s="24"/>
      <c r="D915" s="21"/>
      <c r="E915" s="21"/>
    </row>
    <row r="916">
      <c r="A916" s="24"/>
      <c r="D916" s="21"/>
      <c r="E916" s="21"/>
    </row>
    <row r="917">
      <c r="A917" s="24"/>
      <c r="D917" s="21"/>
      <c r="E917" s="21"/>
    </row>
    <row r="918">
      <c r="A918" s="24"/>
      <c r="D918" s="21"/>
      <c r="E918" s="21"/>
    </row>
    <row r="919">
      <c r="A919" s="24"/>
      <c r="D919" s="21"/>
      <c r="E919" s="21"/>
    </row>
    <row r="920">
      <c r="A920" s="24"/>
      <c r="D920" s="21"/>
      <c r="E920" s="21"/>
    </row>
    <row r="921">
      <c r="A921" s="24"/>
      <c r="D921" s="21"/>
      <c r="E921" s="21"/>
    </row>
    <row r="922">
      <c r="A922" s="24"/>
      <c r="D922" s="21"/>
      <c r="E922" s="21"/>
    </row>
    <row r="923">
      <c r="A923" s="24"/>
      <c r="D923" s="21"/>
      <c r="E923" s="21"/>
    </row>
    <row r="924">
      <c r="A924" s="24"/>
      <c r="D924" s="21"/>
      <c r="E924" s="21"/>
    </row>
    <row r="925">
      <c r="A925" s="24"/>
      <c r="D925" s="21"/>
      <c r="E925" s="21"/>
    </row>
    <row r="926">
      <c r="A926" s="24"/>
      <c r="D926" s="21"/>
      <c r="E926" s="21"/>
    </row>
    <row r="927">
      <c r="A927" s="24"/>
      <c r="D927" s="21"/>
      <c r="E927" s="21"/>
    </row>
    <row r="928">
      <c r="A928" s="24"/>
      <c r="D928" s="21"/>
      <c r="E928" s="21"/>
    </row>
    <row r="929">
      <c r="A929" s="24"/>
      <c r="D929" s="21"/>
      <c r="E929" s="21"/>
    </row>
    <row r="930">
      <c r="A930" s="24"/>
      <c r="D930" s="21"/>
      <c r="E930" s="21"/>
    </row>
    <row r="931">
      <c r="A931" s="24"/>
      <c r="D931" s="21"/>
      <c r="E931" s="21"/>
    </row>
    <row r="932">
      <c r="A932" s="24"/>
      <c r="D932" s="21"/>
      <c r="E932" s="21"/>
    </row>
    <row r="933">
      <c r="A933" s="24"/>
      <c r="D933" s="21"/>
      <c r="E933" s="21"/>
    </row>
    <row r="934">
      <c r="A934" s="24"/>
      <c r="D934" s="21"/>
      <c r="E934" s="21"/>
    </row>
    <row r="935">
      <c r="A935" s="24"/>
      <c r="D935" s="21"/>
      <c r="E935" s="21"/>
    </row>
    <row r="936">
      <c r="A936" s="24"/>
      <c r="D936" s="21"/>
      <c r="E936" s="21"/>
    </row>
    <row r="937">
      <c r="A937" s="24"/>
      <c r="D937" s="21"/>
      <c r="E937" s="21"/>
    </row>
    <row r="938">
      <c r="A938" s="24"/>
      <c r="D938" s="21"/>
      <c r="E938" s="21"/>
    </row>
    <row r="939">
      <c r="A939" s="24"/>
      <c r="D939" s="21"/>
      <c r="E939" s="21"/>
    </row>
    <row r="940">
      <c r="A940" s="24"/>
      <c r="D940" s="21"/>
      <c r="E940" s="21"/>
    </row>
    <row r="941">
      <c r="A941" s="24"/>
      <c r="D941" s="21"/>
      <c r="E941" s="21"/>
    </row>
    <row r="942">
      <c r="A942" s="24"/>
      <c r="D942" s="21"/>
      <c r="E942" s="21"/>
    </row>
    <row r="943">
      <c r="A943" s="24"/>
      <c r="D943" s="21"/>
      <c r="E943" s="21"/>
    </row>
    <row r="944">
      <c r="A944" s="24"/>
      <c r="D944" s="21"/>
      <c r="E944" s="21"/>
    </row>
    <row r="945">
      <c r="A945" s="24"/>
      <c r="D945" s="21"/>
      <c r="E945" s="21"/>
    </row>
    <row r="946">
      <c r="A946" s="24"/>
      <c r="D946" s="21"/>
      <c r="E946" s="21"/>
    </row>
    <row r="947">
      <c r="A947" s="24"/>
      <c r="D947" s="21"/>
      <c r="E947" s="21"/>
    </row>
    <row r="948">
      <c r="A948" s="24"/>
      <c r="D948" s="21"/>
      <c r="E948" s="21"/>
    </row>
    <row r="949">
      <c r="A949" s="24"/>
      <c r="D949" s="21"/>
      <c r="E949" s="21"/>
    </row>
    <row r="950">
      <c r="A950" s="24"/>
      <c r="D950" s="21"/>
      <c r="E950" s="21"/>
    </row>
    <row r="951">
      <c r="A951" s="24"/>
      <c r="D951" s="21"/>
      <c r="E951" s="21"/>
    </row>
    <row r="952">
      <c r="A952" s="24"/>
      <c r="D952" s="21"/>
      <c r="E952" s="21"/>
    </row>
    <row r="953">
      <c r="A953" s="24"/>
      <c r="D953" s="21"/>
      <c r="E953" s="21"/>
    </row>
    <row r="954">
      <c r="A954" s="24"/>
      <c r="D954" s="21"/>
      <c r="E954" s="21"/>
    </row>
    <row r="955">
      <c r="A955" s="24"/>
      <c r="D955" s="21"/>
      <c r="E955" s="21"/>
    </row>
    <row r="956">
      <c r="A956" s="24"/>
      <c r="D956" s="21"/>
      <c r="E956" s="21"/>
    </row>
    <row r="957">
      <c r="A957" s="24"/>
      <c r="D957" s="21"/>
      <c r="E957" s="21"/>
    </row>
    <row r="958">
      <c r="A958" s="24"/>
      <c r="D958" s="21"/>
      <c r="E958" s="21"/>
    </row>
    <row r="959">
      <c r="A959" s="24"/>
      <c r="D959" s="21"/>
      <c r="E959" s="21"/>
    </row>
    <row r="960">
      <c r="A960" s="24"/>
      <c r="D960" s="21"/>
      <c r="E960" s="21"/>
    </row>
    <row r="961">
      <c r="A961" s="24"/>
      <c r="D961" s="21"/>
      <c r="E961" s="21"/>
    </row>
    <row r="962">
      <c r="A962" s="24"/>
      <c r="D962" s="21"/>
      <c r="E962" s="21"/>
    </row>
    <row r="963">
      <c r="A963" s="24"/>
      <c r="D963" s="21"/>
      <c r="E963" s="21"/>
    </row>
    <row r="964">
      <c r="A964" s="24"/>
      <c r="D964" s="21"/>
      <c r="E964" s="21"/>
    </row>
    <row r="965">
      <c r="A965" s="24"/>
      <c r="D965" s="21"/>
      <c r="E965" s="21"/>
    </row>
    <row r="966">
      <c r="A966" s="24"/>
      <c r="D966" s="21"/>
      <c r="E966" s="21"/>
    </row>
    <row r="967">
      <c r="A967" s="24"/>
      <c r="D967" s="21"/>
      <c r="E967" s="21"/>
    </row>
    <row r="968">
      <c r="A968" s="24"/>
      <c r="D968" s="21"/>
      <c r="E968" s="21"/>
    </row>
    <row r="969">
      <c r="A969" s="24"/>
      <c r="D969" s="21"/>
      <c r="E969" s="21"/>
    </row>
    <row r="970">
      <c r="A970" s="24"/>
      <c r="D970" s="21"/>
      <c r="E970" s="21"/>
    </row>
    <row r="971">
      <c r="A971" s="24"/>
      <c r="D971" s="21"/>
      <c r="E971" s="21"/>
    </row>
    <row r="972">
      <c r="A972" s="24"/>
      <c r="D972" s="21"/>
      <c r="E972" s="21"/>
    </row>
    <row r="973">
      <c r="A973" s="24"/>
      <c r="D973" s="21"/>
      <c r="E973" s="21"/>
    </row>
    <row r="974">
      <c r="A974" s="24"/>
      <c r="D974" s="21"/>
      <c r="E974" s="21"/>
    </row>
    <row r="975">
      <c r="A975" s="24"/>
      <c r="D975" s="21"/>
      <c r="E975" s="21"/>
    </row>
    <row r="976">
      <c r="A976" s="24"/>
      <c r="D976" s="21"/>
      <c r="E976" s="21"/>
    </row>
    <row r="977">
      <c r="A977" s="24"/>
      <c r="D977" s="21"/>
      <c r="E977" s="21"/>
    </row>
    <row r="978">
      <c r="A978" s="24"/>
      <c r="D978" s="21"/>
      <c r="E978" s="21"/>
    </row>
    <row r="979">
      <c r="A979" s="24"/>
      <c r="D979" s="21"/>
      <c r="E979" s="21"/>
    </row>
    <row r="980">
      <c r="A980" s="24"/>
      <c r="D980" s="21"/>
      <c r="E980" s="21"/>
    </row>
    <row r="981">
      <c r="A981" s="24"/>
      <c r="D981" s="21"/>
      <c r="E981" s="21"/>
    </row>
    <row r="982">
      <c r="A982" s="24"/>
      <c r="D982" s="21"/>
      <c r="E982" s="21"/>
    </row>
    <row r="983">
      <c r="A983" s="24"/>
      <c r="D983" s="21"/>
      <c r="E983" s="21"/>
    </row>
    <row r="984">
      <c r="A984" s="24"/>
      <c r="D984" s="21"/>
      <c r="E984" s="21"/>
    </row>
    <row r="985">
      <c r="A985" s="24"/>
      <c r="D985" s="21"/>
      <c r="E985" s="21"/>
    </row>
    <row r="986">
      <c r="A986" s="24"/>
      <c r="D986" s="21"/>
      <c r="E986" s="21"/>
    </row>
    <row r="987">
      <c r="A987" s="24"/>
      <c r="D987" s="21"/>
      <c r="E987" s="21"/>
    </row>
    <row r="988">
      <c r="A988" s="24"/>
      <c r="D988" s="21"/>
      <c r="E988" s="21"/>
    </row>
    <row r="989">
      <c r="A989" s="24"/>
      <c r="D989" s="21"/>
      <c r="E989" s="21"/>
    </row>
    <row r="990">
      <c r="A990" s="24"/>
      <c r="D990" s="21"/>
      <c r="E990" s="21"/>
    </row>
    <row r="991">
      <c r="A991" s="24"/>
      <c r="D991" s="21"/>
      <c r="E991" s="21"/>
    </row>
    <row r="992">
      <c r="A992" s="24"/>
      <c r="D992" s="21"/>
      <c r="E992" s="21"/>
    </row>
    <row r="993">
      <c r="A993" s="24"/>
      <c r="D993" s="21"/>
      <c r="E993" s="21"/>
    </row>
    <row r="994">
      <c r="A994" s="24"/>
      <c r="D994" s="21"/>
      <c r="E994" s="21"/>
    </row>
    <row r="995">
      <c r="A995" s="24"/>
      <c r="D995" s="21"/>
      <c r="E995" s="21"/>
    </row>
    <row r="996">
      <c r="A996" s="24"/>
      <c r="D996" s="21"/>
      <c r="E996" s="21"/>
    </row>
    <row r="997">
      <c r="A997" s="24"/>
      <c r="D997" s="21"/>
      <c r="E997" s="21"/>
    </row>
    <row r="998">
      <c r="A998" s="24"/>
      <c r="D998" s="21"/>
      <c r="E998" s="21"/>
    </row>
    <row r="999">
      <c r="A999" s="24"/>
      <c r="D999" s="21"/>
      <c r="E999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8.0"/>
    <col customWidth="1" min="3" max="3" width="15.0"/>
    <col customWidth="1" min="4" max="4" width="18.0"/>
    <col customWidth="1" min="5" max="5" width="15.25"/>
  </cols>
  <sheetData>
    <row r="1">
      <c r="A1" s="25" t="s">
        <v>0</v>
      </c>
      <c r="B1" s="26" t="s">
        <v>11</v>
      </c>
      <c r="C1" s="27" t="s">
        <v>12</v>
      </c>
      <c r="D1" s="18"/>
      <c r="E1" s="18"/>
      <c r="F1" s="28" t="s">
        <v>13</v>
      </c>
      <c r="G1" s="29" t="s">
        <v>14</v>
      </c>
    </row>
    <row r="2">
      <c r="A2" s="30">
        <v>46057.0</v>
      </c>
      <c r="B2" s="21">
        <f>vlookup(A2,combine!A1:E55,4,0)</f>
        <v>0</v>
      </c>
      <c r="C2" s="21">
        <f>vlookup(A2,combine!A1:E55,5,0)</f>
        <v>0</v>
      </c>
      <c r="D2" s="21"/>
      <c r="E2" s="31" t="s">
        <v>15</v>
      </c>
      <c r="F2" s="21">
        <f t="shared" ref="F2:G2" si="1">AVERAGE(B:B)</f>
        <v>0.00138372545</v>
      </c>
      <c r="G2" s="21">
        <f t="shared" si="1"/>
        <v>0.009094399124</v>
      </c>
    </row>
    <row r="3">
      <c r="A3" s="30">
        <v>46055.0</v>
      </c>
      <c r="B3" s="21">
        <f>vlookup(A3,combine!A2:E56,4,0)</f>
        <v>0.06346180035</v>
      </c>
      <c r="C3" s="21">
        <f>vlookup(A3,combine!A2:E56,5,0)</f>
        <v>0.02770083102</v>
      </c>
      <c r="D3" s="21"/>
      <c r="E3" s="31" t="s">
        <v>16</v>
      </c>
      <c r="F3" s="21">
        <f t="shared" ref="F3:G3" si="2">AVEDEV(B:B)*53/52</f>
        <v>0.02273034144</v>
      </c>
      <c r="G3" s="21">
        <f t="shared" si="2"/>
        <v>0.03544135154</v>
      </c>
    </row>
    <row r="4">
      <c r="A4" s="30">
        <v>46048.0</v>
      </c>
      <c r="B4" s="21">
        <f>vlookup(A4,combine!A3:E57,4,0)</f>
        <v>0.01324686077</v>
      </c>
      <c r="C4" s="21">
        <f>vlookup(A4,combine!A3:E57,5,0)</f>
        <v>0.009507829978</v>
      </c>
      <c r="D4" s="21"/>
      <c r="E4" s="31" t="s">
        <v>17</v>
      </c>
      <c r="F4" s="21">
        <f t="shared" ref="F4:G4" si="3">_xlfn.VAR.S(B:B)</f>
        <v>0.001213010398</v>
      </c>
      <c r="G4" s="21">
        <f t="shared" si="3"/>
        <v>0.002568629883</v>
      </c>
    </row>
    <row r="5">
      <c r="A5" s="30">
        <v>46041.0</v>
      </c>
      <c r="B5" s="21">
        <f>vlookup(A5,combine!A4:E58,4,0)</f>
        <v>-0.03681552366</v>
      </c>
      <c r="C5" s="21">
        <f>vlookup(A5,combine!A4:E58,5,0)</f>
        <v>-0.05396825397</v>
      </c>
      <c r="D5" s="21"/>
      <c r="E5" s="31" t="s">
        <v>18</v>
      </c>
      <c r="F5" s="21">
        <f t="shared" ref="F5:G5" si="4">_xlfn.STDEV.S(B:B)</f>
        <v>0.03482829881</v>
      </c>
      <c r="G5" s="21">
        <f t="shared" si="4"/>
        <v>0.05068165233</v>
      </c>
    </row>
    <row r="6">
      <c r="A6" s="30">
        <v>46034.0</v>
      </c>
      <c r="B6" s="21">
        <f>vlookup(A6,combine!A5:E59,4,0)</f>
        <v>-0.002254342925</v>
      </c>
      <c r="C6" s="21">
        <f>vlookup(A6,combine!A5:E59,5,0)</f>
        <v>0.1059098888</v>
      </c>
      <c r="D6" s="21"/>
      <c r="E6" s="31" t="s">
        <v>19</v>
      </c>
      <c r="F6" s="32">
        <f t="shared" ref="F6:G6" si="5">F5/F2</f>
        <v>25.16994885</v>
      </c>
      <c r="G6" s="32">
        <f t="shared" si="5"/>
        <v>5.572842322</v>
      </c>
    </row>
    <row r="7">
      <c r="A7" s="30">
        <v>46027.0</v>
      </c>
      <c r="B7" s="21">
        <f>vlookup(A7,combine!A6:E60,4,0)</f>
        <v>-0.04229108458</v>
      </c>
      <c r="C7" s="21">
        <f>vlookup(A7,combine!A6:E60,5,0)</f>
        <v>0.07013149656</v>
      </c>
      <c r="D7" s="21"/>
      <c r="E7" s="31" t="s">
        <v>20</v>
      </c>
      <c r="F7" s="21">
        <f t="shared" ref="F7:G7" si="6">max(B:B)</f>
        <v>0.1277387179</v>
      </c>
      <c r="G7" s="21">
        <f t="shared" si="6"/>
        <v>0.1059098888</v>
      </c>
    </row>
    <row r="8">
      <c r="A8" s="30">
        <v>46020.0</v>
      </c>
      <c r="B8" s="21">
        <f>vlookup(A8,combine!A7:E61,4,0)</f>
        <v>0.01169214956</v>
      </c>
      <c r="C8" s="21">
        <f>vlookup(A8,combine!A7:E61,5,0)</f>
        <v>0.005034612964</v>
      </c>
      <c r="D8" s="21"/>
      <c r="E8" s="31" t="s">
        <v>21</v>
      </c>
      <c r="F8" s="21">
        <f t="shared" ref="F8:G8" si="7">MIN(B:B)</f>
        <v>-0.0566134843</v>
      </c>
      <c r="G8" s="21">
        <f t="shared" si="7"/>
        <v>-0.2086068563</v>
      </c>
    </row>
    <row r="9">
      <c r="A9" s="30">
        <v>46013.0</v>
      </c>
      <c r="B9" s="21">
        <f>vlookup(A9,combine!A8:E62,4,0)</f>
        <v>-0.01218428735</v>
      </c>
      <c r="C9" s="21">
        <f>vlookup(A9,combine!A8:E62,5,0)</f>
        <v>0.009529860229</v>
      </c>
      <c r="D9" s="21"/>
      <c r="E9" s="31" t="s">
        <v>22</v>
      </c>
      <c r="F9" s="21">
        <f t="shared" ref="F9:G9" si="8">F7-F8</f>
        <v>0.1843522022</v>
      </c>
      <c r="G9" s="21">
        <f t="shared" si="8"/>
        <v>0.3145167451</v>
      </c>
    </row>
    <row r="10">
      <c r="A10" s="30">
        <v>46006.0</v>
      </c>
      <c r="B10" s="21">
        <f>vlookup(A10,combine!A9:E63,4,0)</f>
        <v>0.01077613855</v>
      </c>
      <c r="C10" s="21">
        <f>vlookup(A10,combine!A9:E63,5,0)</f>
        <v>-0.01686445971</v>
      </c>
      <c r="D10" s="21"/>
      <c r="E10" s="33"/>
    </row>
    <row r="11">
      <c r="A11" s="30">
        <v>45999.0</v>
      </c>
      <c r="B11" s="21">
        <f>vlookup(A11,combine!A10:E64,4,0)</f>
        <v>-0.01103780766</v>
      </c>
      <c r="C11" s="21">
        <f>vlookup(A11,combine!A10:E64,5,0)</f>
        <v>-0.01658476658</v>
      </c>
      <c r="D11" s="21"/>
      <c r="E11" s="31" t="s">
        <v>23</v>
      </c>
      <c r="F11" s="21">
        <f t="shared" ref="F11:G11" si="9">_xlfn.PERCENTILE.INC(B:B,0.75)</f>
        <v>0.01077613855</v>
      </c>
      <c r="G11" s="21">
        <f t="shared" si="9"/>
        <v>0.03168567807</v>
      </c>
    </row>
    <row r="12">
      <c r="A12" s="30">
        <v>45992.0</v>
      </c>
      <c r="B12" s="21">
        <f>vlookup(A12,combine!A11:E65,4,0)</f>
        <v>-0.01265188526</v>
      </c>
      <c r="C12" s="21">
        <f>vlookup(A12,combine!A11:E65,5,0)</f>
        <v>0.03168567807</v>
      </c>
      <c r="D12" s="21"/>
      <c r="E12" s="31" t="s">
        <v>24</v>
      </c>
      <c r="F12" s="21">
        <f t="shared" ref="F12:G12" si="10">_xlfn.PERCENTILE.INC(B:B,0.25)</f>
        <v>-0.01265188526</v>
      </c>
      <c r="G12" s="21">
        <f t="shared" si="10"/>
        <v>-0.01661849711</v>
      </c>
    </row>
    <row r="13">
      <c r="A13" s="30">
        <v>45985.0</v>
      </c>
      <c r="B13" s="21">
        <f>vlookup(A13,combine!A12:E66,4,0)</f>
        <v>-0.0116379844</v>
      </c>
      <c r="C13" s="21">
        <f>vlookup(A13,combine!A12:E66,5,0)</f>
        <v>0.03815789474</v>
      </c>
      <c r="D13" s="21"/>
      <c r="E13" s="31"/>
      <c r="F13" s="24"/>
    </row>
    <row r="14">
      <c r="A14" s="30">
        <v>45978.0</v>
      </c>
      <c r="B14" s="21">
        <f>vlookup(A14,combine!A13:E67,4,0)</f>
        <v>0.005727804757</v>
      </c>
      <c r="C14" s="21">
        <f>vlookup(A14,combine!A13:E67,5,0)</f>
        <v>-0.03736542115</v>
      </c>
      <c r="D14" s="21"/>
      <c r="E14" s="31" t="s">
        <v>25</v>
      </c>
      <c r="F14" s="21">
        <f t="shared" ref="F14:G14" si="11">F11-F12</f>
        <v>0.02342802381</v>
      </c>
      <c r="G14" s="21">
        <f t="shared" si="11"/>
        <v>0.04830417518</v>
      </c>
    </row>
    <row r="15">
      <c r="A15" s="30">
        <v>45971.0</v>
      </c>
      <c r="B15" s="21">
        <f>vlookup(A15,combine!A14:E68,4,0)</f>
        <v>0.01504044489</v>
      </c>
      <c r="C15" s="21">
        <f>vlookup(A15,combine!A14:E68,5,0)</f>
        <v>0.04708222812</v>
      </c>
      <c r="D15" s="21"/>
      <c r="E15" s="31" t="s">
        <v>26</v>
      </c>
      <c r="F15" s="21">
        <f t="shared" ref="F15:G15" si="12">F14*1.5</f>
        <v>0.03514203571</v>
      </c>
      <c r="G15" s="21">
        <f t="shared" si="12"/>
        <v>0.07245626278</v>
      </c>
    </row>
    <row r="16">
      <c r="A16" s="30">
        <v>45964.0</v>
      </c>
      <c r="B16" s="21">
        <f>vlookup(A16,combine!A15:E69,4,0)</f>
        <v>0.02913631634</v>
      </c>
      <c r="C16" s="21">
        <f>vlookup(A16,combine!A15:E69,5,0)</f>
        <v>-0.003304692664</v>
      </c>
      <c r="D16" s="21"/>
      <c r="E16" s="31" t="s">
        <v>27</v>
      </c>
      <c r="F16" s="21">
        <f t="shared" ref="F16:G16" si="13">F11+F15</f>
        <v>0.04591817426</v>
      </c>
      <c r="G16" s="21">
        <f t="shared" si="13"/>
        <v>0.1041419408</v>
      </c>
    </row>
    <row r="17">
      <c r="A17" s="30">
        <v>45957.0</v>
      </c>
      <c r="B17" s="21">
        <f>vlookup(A17,combine!A16:E70,4,0)</f>
        <v>-0.0403195606</v>
      </c>
      <c r="C17" s="21">
        <f>vlookup(A17,combine!A16:E70,5,0)</f>
        <v>0.02437373053</v>
      </c>
      <c r="D17" s="21"/>
      <c r="E17" s="31" t="s">
        <v>28</v>
      </c>
      <c r="F17" s="21">
        <f t="shared" ref="F17:G17" si="14">F12-F15</f>
        <v>-0.04779392097</v>
      </c>
      <c r="G17" s="21">
        <f t="shared" si="14"/>
        <v>-0.08907475988</v>
      </c>
    </row>
    <row r="18">
      <c r="A18" s="30">
        <v>45950.0</v>
      </c>
      <c r="B18" s="21">
        <f>vlookup(A18,combine!A17:E71,4,0)</f>
        <v>-0.05564069315</v>
      </c>
      <c r="C18" s="21">
        <f>vlookup(A18,combine!A17:E71,5,0)</f>
        <v>-0.01533333333</v>
      </c>
      <c r="D18" s="21"/>
      <c r="E18" s="31" t="s">
        <v>29</v>
      </c>
      <c r="F18" s="32">
        <f t="shared" ref="F18:G18" si="15">(F8-F15)/F5</f>
        <v>-2.634510532</v>
      </c>
      <c r="G18" s="32">
        <f t="shared" si="15"/>
        <v>-5.545658166</v>
      </c>
    </row>
    <row r="19">
      <c r="A19" s="30">
        <v>45943.0</v>
      </c>
      <c r="B19" s="21">
        <f>vlookup(A19,combine!A18:E72,4,0)</f>
        <v>0.1219415421</v>
      </c>
      <c r="C19" s="21">
        <f>vlookup(A19,combine!A18:E72,5,0)</f>
        <v>0.02599179207</v>
      </c>
      <c r="D19" s="21"/>
      <c r="E19" s="31" t="s">
        <v>30</v>
      </c>
      <c r="F19" s="32">
        <f>(F7-F2)/F5</f>
        <v>3.627940403</v>
      </c>
      <c r="G19" s="32">
        <f>(G2+G7)/G5</f>
        <v>2.269150327</v>
      </c>
    </row>
    <row r="20">
      <c r="A20" s="30">
        <v>45936.0</v>
      </c>
      <c r="B20" s="21">
        <f>vlookup(A20,combine!A19:E73,4,0)</f>
        <v>0.01900269542</v>
      </c>
      <c r="C20" s="21">
        <f>vlookup(A20,combine!A19:E73,5,0)</f>
        <v>-0.07233502538</v>
      </c>
      <c r="D20" s="21"/>
      <c r="E20" s="21"/>
    </row>
    <row r="21">
      <c r="A21" s="30">
        <v>45929.0</v>
      </c>
      <c r="B21" s="21">
        <f>vlookup(A21,combine!A20:E74,4,0)</f>
        <v>0.04301377565</v>
      </c>
      <c r="C21" s="21">
        <f>vlookup(A21,combine!A20:E74,5,0)</f>
        <v>-0.0174563591</v>
      </c>
      <c r="D21" s="21"/>
      <c r="E21" s="21"/>
    </row>
    <row r="22">
      <c r="A22" s="30">
        <v>45922.0</v>
      </c>
      <c r="B22" s="21">
        <f>vlookup(A22,combine!A21:E75,4,0)</f>
        <v>-0.0176746755</v>
      </c>
      <c r="C22" s="21">
        <f>vlookup(A22,combine!A21:E75,5,0)</f>
        <v>0.0119873817</v>
      </c>
      <c r="D22" s="21"/>
      <c r="E22" s="21"/>
    </row>
    <row r="23">
      <c r="A23" s="30">
        <v>45915.0</v>
      </c>
      <c r="B23" s="21">
        <f>vlookup(A23,combine!A22:E76,4,0)</f>
        <v>-0.00767333516</v>
      </c>
      <c r="C23" s="21">
        <f>vlookup(A23,combine!A22:E76,5,0)</f>
        <v>0.01798330122</v>
      </c>
      <c r="D23" s="21"/>
      <c r="E23" s="21"/>
    </row>
    <row r="24">
      <c r="A24" s="30">
        <v>45908.0</v>
      </c>
      <c r="B24" s="21">
        <f>vlookup(A24,combine!A23:E77,4,0)</f>
        <v>-0.03222384299</v>
      </c>
      <c r="C24" s="21">
        <f>vlookup(A24,combine!A23:E77,5,0)</f>
        <v>0.01964636542</v>
      </c>
      <c r="D24" s="21"/>
      <c r="E24" s="21"/>
    </row>
    <row r="25">
      <c r="A25" s="30">
        <v>45901.0</v>
      </c>
      <c r="B25" s="21">
        <f>vlookup(A25,combine!A24:E78,4,0)</f>
        <v>0.0002652871734</v>
      </c>
      <c r="C25" s="21">
        <f>vlookup(A25,combine!A24:E78,5,0)</f>
        <v>-0.001308044474</v>
      </c>
      <c r="D25" s="21"/>
      <c r="E25" s="21"/>
    </row>
    <row r="26">
      <c r="A26" s="30">
        <v>45894.0</v>
      </c>
      <c r="B26" s="21">
        <f>vlookup(A26,combine!A25:E79,4,0)</f>
        <v>0.000398089172</v>
      </c>
      <c r="C26" s="21">
        <f>vlookup(A26,combine!A25:E79,5,0)</f>
        <v>-0.01987179487</v>
      </c>
      <c r="D26" s="21"/>
      <c r="E26" s="21"/>
    </row>
    <row r="27">
      <c r="A27" s="30">
        <v>45887.0</v>
      </c>
      <c r="B27" s="21">
        <f>vlookup(A27,combine!A26:E80,4,0)</f>
        <v>0.0417473044</v>
      </c>
      <c r="C27" s="21">
        <f>vlookup(A27,combine!A26:E80,5,0)</f>
        <v>-0.01886792453</v>
      </c>
      <c r="D27" s="21"/>
      <c r="E27" s="21"/>
    </row>
    <row r="28">
      <c r="A28" s="30">
        <v>45880.0</v>
      </c>
      <c r="B28" s="21">
        <f>vlookup(A28,combine!A27:E81,4,0)</f>
        <v>0.003328710125</v>
      </c>
      <c r="C28" s="21">
        <f>vlookup(A28,combine!A27:E81,5,0)</f>
        <v>0.09203296703</v>
      </c>
      <c r="D28" s="21"/>
      <c r="E28" s="21"/>
    </row>
    <row r="29">
      <c r="A29" s="30">
        <v>45873.0</v>
      </c>
      <c r="B29" s="21">
        <f>vlookup(A29,combine!A28:E82,4,0)</f>
        <v>0.01406469761</v>
      </c>
      <c r="C29" s="21">
        <f>vlookup(A29,combine!A28:E82,5,0)</f>
        <v>0.04597701149</v>
      </c>
      <c r="D29" s="21"/>
      <c r="E29" s="21"/>
    </row>
    <row r="30">
      <c r="A30" s="30">
        <v>45866.0</v>
      </c>
      <c r="B30" s="21">
        <f>vlookup(A30,combine!A29:E83,4,0)</f>
        <v>-0.03027823241</v>
      </c>
      <c r="C30" s="21">
        <f>vlookup(A30,combine!A29:E83,5,0)</f>
        <v>-0.05112474438</v>
      </c>
      <c r="D30" s="21"/>
      <c r="E30" s="21"/>
    </row>
    <row r="31">
      <c r="A31" s="30">
        <v>45859.0</v>
      </c>
      <c r="B31" s="21">
        <f>vlookup(A31,combine!A30:E84,4,0)</f>
        <v>-0.0566134843</v>
      </c>
      <c r="C31" s="21">
        <f>vlookup(A31,combine!A30:E84,5,0)</f>
        <v>0.1038374718</v>
      </c>
      <c r="D31" s="21"/>
      <c r="E31" s="21"/>
    </row>
    <row r="32">
      <c r="A32" s="30">
        <v>45852.0</v>
      </c>
      <c r="B32" s="21">
        <f>vlookup(A32,combine!A31:E85,4,0)</f>
        <v>0.009481750877</v>
      </c>
      <c r="C32" s="21">
        <f>vlookup(A32,combine!A31:E85,5,0)</f>
        <v>-0.0292184076</v>
      </c>
      <c r="D32" s="21"/>
      <c r="E32" s="21"/>
    </row>
    <row r="33">
      <c r="A33" s="30">
        <v>45845.0</v>
      </c>
      <c r="B33" s="21">
        <f>vlookup(A33,combine!A32:E86,4,0)</f>
        <v>-0.02876245742</v>
      </c>
      <c r="C33" s="21">
        <f>vlookup(A33,combine!A32:E86,5,0)</f>
        <v>-0.01934097421</v>
      </c>
      <c r="D33" s="21"/>
      <c r="E33" s="21"/>
    </row>
    <row r="34">
      <c r="A34" s="30">
        <v>45838.0</v>
      </c>
      <c r="B34" s="21">
        <f>vlookup(A34,combine!A33:E87,4,0)</f>
        <v>-0.0002522386177</v>
      </c>
      <c r="C34" s="21">
        <f>vlookup(A34,combine!A33:E87,5,0)</f>
        <v>0.005039596832</v>
      </c>
      <c r="D34" s="21"/>
      <c r="E34" s="21"/>
    </row>
    <row r="35">
      <c r="A35" s="30">
        <v>45831.0</v>
      </c>
      <c r="B35" s="21">
        <f>vlookup(A35,combine!A34:E88,4,0)</f>
        <v>-0.02759381898</v>
      </c>
      <c r="C35" s="21">
        <f>vlookup(A35,combine!A34:E88,5,0)</f>
        <v>0.0281273131</v>
      </c>
      <c r="D35" s="21"/>
      <c r="E35" s="21"/>
    </row>
    <row r="36">
      <c r="A36" s="30">
        <v>45824.0</v>
      </c>
      <c r="B36" s="21">
        <f>vlookup(A36,combine!A35:E89,4,0)</f>
        <v>-0.03216617211</v>
      </c>
      <c r="C36" s="21">
        <f>vlookup(A36,combine!A35:E89,5,0)</f>
        <v>-0.007347538575</v>
      </c>
      <c r="D36" s="21"/>
      <c r="E36" s="21"/>
    </row>
    <row r="37">
      <c r="A37" s="30">
        <v>45817.0</v>
      </c>
      <c r="B37" s="21">
        <f>vlookup(A37,combine!A36:E90,4,0)</f>
        <v>-0.02825836217</v>
      </c>
      <c r="C37" s="21">
        <f>vlookup(A37,combine!A36:E90,5,0)</f>
        <v>-0.01661849711</v>
      </c>
      <c r="D37" s="21"/>
      <c r="E37" s="21"/>
    </row>
    <row r="38">
      <c r="A38" s="30">
        <v>45810.0</v>
      </c>
      <c r="B38" s="21">
        <f>vlookup(A38,combine!A37:E91,4,0)</f>
        <v>-0.01140250855</v>
      </c>
      <c r="C38" s="21">
        <f>vlookup(A38,combine!A37:E91,5,0)</f>
        <v>-0.01983002833</v>
      </c>
      <c r="D38" s="21"/>
      <c r="E38" s="21"/>
    </row>
    <row r="39">
      <c r="A39" s="30">
        <v>45803.0</v>
      </c>
      <c r="B39" s="21">
        <f>vlookup(A39,combine!A38:E92,4,0)</f>
        <v>-0.00926344329</v>
      </c>
      <c r="C39" s="21">
        <f>vlookup(A39,combine!A38:E92,5,0)</f>
        <v>0.04283604136</v>
      </c>
      <c r="D39" s="21"/>
      <c r="E39" s="21"/>
    </row>
    <row r="40">
      <c r="A40" s="30">
        <v>45796.0</v>
      </c>
      <c r="B40" s="21">
        <f>vlookup(A40,combine!A39:E93,4,0)</f>
        <v>0.0235892692</v>
      </c>
      <c r="C40" s="21">
        <f>vlookup(A40,combine!A39:E93,5,0)</f>
        <v>0</v>
      </c>
      <c r="D40" s="21"/>
      <c r="E40" s="21"/>
    </row>
    <row r="41">
      <c r="A41" s="30">
        <v>45789.0</v>
      </c>
      <c r="B41" s="21">
        <f>vlookup(A41,combine!A40:E94,4,0)</f>
        <v>-0.01334854535</v>
      </c>
      <c r="C41" s="21">
        <f>vlookup(A41,combine!A40:E94,5,0)</f>
        <v>0.08060654429</v>
      </c>
      <c r="D41" s="21"/>
      <c r="E41" s="21"/>
    </row>
    <row r="42">
      <c r="A42" s="30">
        <v>45782.0</v>
      </c>
      <c r="B42" s="21">
        <f>vlookup(A42,combine!A41:E95,4,0)</f>
        <v>0.0005707762557</v>
      </c>
      <c r="C42" s="21">
        <f>vlookup(A42,combine!A41:E95,5,0)</f>
        <v>0.01869918699</v>
      </c>
      <c r="D42" s="21"/>
      <c r="E42" s="21"/>
    </row>
    <row r="43">
      <c r="A43" s="30">
        <v>45775.0</v>
      </c>
      <c r="B43" s="21">
        <f>vlookup(A43,combine!A42:E96,4,0)</f>
        <v>0.06152223151</v>
      </c>
      <c r="C43" s="21">
        <f>vlookup(A43,combine!A42:E96,5,0)</f>
        <v>0.002444987775</v>
      </c>
      <c r="D43" s="21"/>
      <c r="E43" s="21"/>
    </row>
    <row r="44">
      <c r="A44" s="30">
        <v>45768.0</v>
      </c>
      <c r="B44" s="21">
        <f>vlookup(A44,combine!A43:E97,4,0)</f>
        <v>-0.002228500184</v>
      </c>
      <c r="C44" s="21">
        <f>vlookup(A44,combine!A43:E97,5,0)</f>
        <v>0.03369839933</v>
      </c>
      <c r="D44" s="21"/>
      <c r="E44" s="21"/>
    </row>
    <row r="45">
      <c r="A45" s="30">
        <v>45761.0</v>
      </c>
      <c r="B45" s="21">
        <f>vlookup(A45,combine!A44:E98,4,0)</f>
        <v>-0.002223545014</v>
      </c>
      <c r="C45" s="21">
        <f>vlookup(A45,combine!A44:E98,5,0)</f>
        <v>0.02415875755</v>
      </c>
      <c r="D45" s="21"/>
      <c r="E45" s="21"/>
    </row>
    <row r="46">
      <c r="A46" s="30">
        <v>45754.0</v>
      </c>
      <c r="B46" s="21">
        <f>vlookup(A46,combine!A45:E99,4,0)</f>
        <v>-0.002218611831</v>
      </c>
      <c r="C46" s="21">
        <f>vlookup(A46,combine!A45:E99,5,0)</f>
        <v>0.06820276498</v>
      </c>
      <c r="D46" s="21"/>
      <c r="E46" s="21"/>
    </row>
    <row r="47">
      <c r="A47" s="30">
        <v>45747.0</v>
      </c>
      <c r="B47" s="21">
        <f>vlookup(A47,combine!A46:E100,4,0)</f>
        <v>-0.002213700489</v>
      </c>
      <c r="C47" s="21">
        <f>vlookup(A47,combine!A46:E100,5,0)</f>
        <v>-0.2086068563</v>
      </c>
      <c r="D47" s="21"/>
      <c r="E47" s="21"/>
    </row>
    <row r="48">
      <c r="A48" s="30">
        <v>45740.0</v>
      </c>
      <c r="B48" s="21">
        <f>vlookup(A48,combine!A47:E101,4,0)</f>
        <v>-0.002208810843</v>
      </c>
      <c r="C48" s="21">
        <f>vlookup(A48,combine!A47:E101,5,0)</f>
        <v>-0.06671204901</v>
      </c>
      <c r="D48" s="21"/>
      <c r="E48" s="21"/>
    </row>
    <row r="49">
      <c r="A49" s="30">
        <v>45733.0</v>
      </c>
      <c r="B49" s="21">
        <f>vlookup(A49,combine!A48:E102,4,0)</f>
        <v>-0.00220394275</v>
      </c>
      <c r="C49" s="21">
        <f>vlookup(A49,combine!A48:E102,5,0)</f>
        <v>0.09626865672</v>
      </c>
      <c r="D49" s="21"/>
      <c r="E49" s="21"/>
    </row>
    <row r="50">
      <c r="A50" s="30">
        <v>45726.0</v>
      </c>
      <c r="B50" s="21">
        <f>vlookup(A50,combine!A49:E103,4,0)</f>
        <v>-0.002199096068</v>
      </c>
      <c r="C50" s="21">
        <f>vlookup(A50,combine!A49:E103,5,0)</f>
        <v>0.04933437745</v>
      </c>
      <c r="D50" s="21"/>
      <c r="E50" s="21"/>
    </row>
    <row r="51">
      <c r="A51" s="30">
        <v>45719.0</v>
      </c>
      <c r="B51" s="21">
        <f>vlookup(A51,combine!A50:E104,4,0)</f>
        <v>-0.002194270656</v>
      </c>
      <c r="C51" s="21">
        <f>vlookup(A51,combine!A50:E104,5,0)</f>
        <v>0.02241793435</v>
      </c>
      <c r="D51" s="21"/>
      <c r="E51" s="21"/>
    </row>
    <row r="52">
      <c r="A52" s="30">
        <v>45712.0</v>
      </c>
      <c r="B52" s="21">
        <f>vlookup(A52,combine!A51:E105,4,0)</f>
        <v>-0.002189466375</v>
      </c>
      <c r="C52" s="21">
        <f>vlookup(A52,combine!A51:E105,5,0)</f>
        <v>0.007258064516</v>
      </c>
      <c r="D52" s="21"/>
      <c r="E52" s="21"/>
    </row>
    <row r="53">
      <c r="A53" s="30">
        <v>45705.0</v>
      </c>
      <c r="B53" s="21">
        <f>vlookup(A53,combine!A52:E106,4,0)</f>
        <v>-0.002184683084</v>
      </c>
      <c r="C53" s="21">
        <f>vlookup(A53,combine!A52:E106,5,0)</f>
        <v>-0.0127388535</v>
      </c>
      <c r="D53" s="21"/>
      <c r="E53" s="21"/>
    </row>
    <row r="54">
      <c r="A54" s="30">
        <v>45698.0</v>
      </c>
      <c r="B54" s="21">
        <f>vlookup(A54,combine!A53:E107,4,0)</f>
        <v>0.1277387179</v>
      </c>
      <c r="C54" s="21">
        <f>vlookup(A54,combine!A53:E107,5,0)</f>
        <v>0.02113821138</v>
      </c>
      <c r="D54" s="21"/>
      <c r="E54" s="21"/>
    </row>
    <row r="55">
      <c r="A55" s="30"/>
      <c r="B55" s="21"/>
      <c r="C55" s="21"/>
      <c r="D55" s="21"/>
      <c r="E55" s="21"/>
    </row>
    <row r="56">
      <c r="A56" s="34"/>
      <c r="B56" s="21"/>
      <c r="C56" s="21"/>
      <c r="D56" s="21"/>
      <c r="E56" s="21"/>
    </row>
    <row r="57">
      <c r="A57" s="34"/>
      <c r="B57" s="21"/>
      <c r="C57" s="21"/>
      <c r="D57" s="21"/>
    </row>
    <row r="58">
      <c r="A58" s="34"/>
      <c r="B58" s="21"/>
      <c r="C58" s="21"/>
      <c r="D58" s="21"/>
    </row>
    <row r="59">
      <c r="A59" s="34"/>
      <c r="B59" s="21"/>
      <c r="C59" s="21"/>
      <c r="D59" s="21"/>
    </row>
    <row r="60">
      <c r="A60" s="34"/>
      <c r="B60" s="21"/>
      <c r="C60" s="21"/>
      <c r="D60" s="21"/>
    </row>
    <row r="61">
      <c r="A61" s="34"/>
      <c r="B61" s="21"/>
      <c r="C61" s="21"/>
      <c r="D61" s="21"/>
    </row>
    <row r="62">
      <c r="A62" s="34"/>
      <c r="B62" s="21"/>
      <c r="C62" s="21"/>
      <c r="D62" s="21"/>
    </row>
    <row r="63">
      <c r="A63" s="34"/>
      <c r="B63" s="21"/>
      <c r="C63" s="21"/>
      <c r="D63" s="21"/>
    </row>
    <row r="64">
      <c r="A64" s="34"/>
      <c r="B64" s="21"/>
      <c r="C64" s="21"/>
      <c r="D64" s="21"/>
    </row>
    <row r="65">
      <c r="A65" s="34"/>
      <c r="B65" s="21"/>
      <c r="C65" s="21"/>
      <c r="D65" s="21"/>
    </row>
    <row r="66">
      <c r="A66" s="34"/>
      <c r="B66" s="21"/>
      <c r="C66" s="21"/>
      <c r="D66" s="21"/>
    </row>
    <row r="67">
      <c r="A67" s="34"/>
      <c r="B67" s="21"/>
      <c r="C67" s="21"/>
      <c r="D67" s="21"/>
    </row>
    <row r="68">
      <c r="A68" s="34"/>
      <c r="B68" s="21"/>
      <c r="C68" s="21"/>
      <c r="D68" s="21"/>
    </row>
    <row r="69">
      <c r="A69" s="34"/>
      <c r="B69" s="21"/>
      <c r="C69" s="21"/>
      <c r="D69" s="21"/>
    </row>
    <row r="70">
      <c r="A70" s="34"/>
      <c r="B70" s="21"/>
      <c r="C70" s="21"/>
      <c r="D70" s="21"/>
    </row>
    <row r="71">
      <c r="A71" s="34"/>
      <c r="B71" s="21"/>
      <c r="C71" s="21"/>
      <c r="D71" s="21"/>
    </row>
    <row r="72">
      <c r="A72" s="34"/>
      <c r="B72" s="21"/>
      <c r="C72" s="21"/>
      <c r="D72" s="21"/>
    </row>
    <row r="73">
      <c r="A73" s="34"/>
      <c r="B73" s="21"/>
      <c r="C73" s="21"/>
      <c r="D73" s="21"/>
    </row>
    <row r="74">
      <c r="A74" s="34"/>
      <c r="B74" s="21"/>
      <c r="C74" s="21"/>
      <c r="D74" s="21"/>
    </row>
    <row r="75">
      <c r="A75" s="34"/>
      <c r="B75" s="21"/>
      <c r="C75" s="21"/>
      <c r="D75" s="21"/>
    </row>
    <row r="76">
      <c r="A76" s="34"/>
      <c r="B76" s="21"/>
      <c r="C76" s="21"/>
      <c r="D76" s="21"/>
    </row>
    <row r="77">
      <c r="A77" s="34"/>
      <c r="B77" s="21"/>
      <c r="C77" s="21"/>
      <c r="D77" s="21"/>
    </row>
    <row r="78">
      <c r="A78" s="34"/>
      <c r="B78" s="21"/>
      <c r="C78" s="21"/>
      <c r="D78" s="21"/>
    </row>
    <row r="79">
      <c r="A79" s="34"/>
      <c r="B79" s="21"/>
      <c r="C79" s="21"/>
      <c r="D79" s="21"/>
    </row>
    <row r="80">
      <c r="A80" s="34"/>
      <c r="B80" s="21"/>
      <c r="C80" s="21"/>
      <c r="D80" s="21"/>
    </row>
    <row r="81">
      <c r="A81" s="34"/>
      <c r="B81" s="21"/>
      <c r="C81" s="21"/>
      <c r="D81" s="21"/>
    </row>
    <row r="82">
      <c r="A82" s="34"/>
      <c r="B82" s="21"/>
      <c r="C82" s="21"/>
      <c r="D82" s="21"/>
    </row>
    <row r="83">
      <c r="A83" s="34"/>
      <c r="B83" s="21"/>
      <c r="C83" s="21"/>
      <c r="D83" s="21"/>
    </row>
    <row r="84">
      <c r="A84" s="34"/>
      <c r="B84" s="21"/>
      <c r="C84" s="21"/>
      <c r="D84" s="21"/>
    </row>
    <row r="85">
      <c r="A85" s="34"/>
      <c r="B85" s="21"/>
      <c r="C85" s="21"/>
      <c r="D85" s="21"/>
    </row>
    <row r="86">
      <c r="A86" s="34"/>
      <c r="B86" s="21"/>
      <c r="C86" s="21"/>
      <c r="D86" s="21"/>
    </row>
    <row r="87">
      <c r="A87" s="34"/>
      <c r="B87" s="21"/>
      <c r="C87" s="21"/>
      <c r="D87" s="21"/>
    </row>
    <row r="88">
      <c r="A88" s="34"/>
      <c r="B88" s="21"/>
      <c r="C88" s="21"/>
      <c r="D88" s="21"/>
    </row>
    <row r="89">
      <c r="A89" s="34"/>
      <c r="B89" s="21"/>
      <c r="C89" s="21"/>
      <c r="D89" s="21"/>
    </row>
    <row r="90">
      <c r="A90" s="34"/>
      <c r="B90" s="21"/>
      <c r="C90" s="21"/>
      <c r="D90" s="21"/>
    </row>
    <row r="91">
      <c r="A91" s="34"/>
      <c r="B91" s="21"/>
      <c r="C91" s="21"/>
      <c r="D91" s="21"/>
    </row>
    <row r="92">
      <c r="A92" s="34"/>
      <c r="B92" s="21"/>
      <c r="C92" s="21"/>
      <c r="D92" s="21"/>
    </row>
    <row r="93">
      <c r="A93" s="34"/>
      <c r="B93" s="21"/>
      <c r="C93" s="21"/>
      <c r="D93" s="21"/>
    </row>
    <row r="94">
      <c r="A94" s="34"/>
      <c r="B94" s="21"/>
      <c r="C94" s="21"/>
      <c r="D94" s="21"/>
    </row>
    <row r="95">
      <c r="A95" s="34"/>
      <c r="B95" s="21"/>
      <c r="C95" s="21"/>
      <c r="D95" s="21"/>
    </row>
    <row r="96">
      <c r="A96" s="34"/>
      <c r="B96" s="21"/>
      <c r="C96" s="21"/>
      <c r="D96" s="21"/>
    </row>
    <row r="97">
      <c r="A97" s="34"/>
      <c r="B97" s="21"/>
      <c r="C97" s="21"/>
      <c r="D97" s="21"/>
    </row>
    <row r="98">
      <c r="A98" s="34"/>
      <c r="B98" s="21"/>
      <c r="C98" s="21"/>
      <c r="D98" s="21"/>
    </row>
    <row r="99">
      <c r="A99" s="34"/>
      <c r="B99" s="21"/>
      <c r="C99" s="21"/>
      <c r="D99" s="21"/>
    </row>
    <row r="100">
      <c r="A100" s="34"/>
      <c r="B100" s="21"/>
      <c r="C100" s="21"/>
      <c r="D100" s="21"/>
    </row>
    <row r="101">
      <c r="A101" s="34"/>
      <c r="B101" s="21"/>
      <c r="C101" s="21"/>
      <c r="D101" s="21"/>
    </row>
    <row r="102">
      <c r="A102" s="34"/>
      <c r="B102" s="21"/>
      <c r="C102" s="21"/>
      <c r="D102" s="21"/>
    </row>
    <row r="103">
      <c r="A103" s="34"/>
      <c r="B103" s="21"/>
      <c r="C103" s="21"/>
      <c r="D103" s="21"/>
    </row>
    <row r="104">
      <c r="A104" s="34"/>
      <c r="B104" s="21"/>
      <c r="C104" s="21"/>
      <c r="D104" s="21"/>
    </row>
    <row r="105">
      <c r="A105" s="34"/>
      <c r="B105" s="21"/>
      <c r="C105" s="21"/>
      <c r="D105" s="21"/>
    </row>
    <row r="106">
      <c r="A106" s="34"/>
      <c r="B106" s="21"/>
      <c r="C106" s="21"/>
      <c r="D106" s="21"/>
    </row>
    <row r="107">
      <c r="A107" s="34"/>
      <c r="B107" s="21"/>
      <c r="C107" s="21"/>
      <c r="D107" s="21"/>
    </row>
    <row r="108">
      <c r="A108" s="34"/>
      <c r="B108" s="21"/>
      <c r="C108" s="21"/>
      <c r="D108" s="21"/>
    </row>
    <row r="109">
      <c r="A109" s="34"/>
      <c r="B109" s="21"/>
      <c r="C109" s="21"/>
      <c r="D109" s="21"/>
    </row>
    <row r="110">
      <c r="A110" s="34"/>
      <c r="B110" s="21"/>
      <c r="C110" s="21"/>
      <c r="D110" s="21"/>
    </row>
    <row r="111">
      <c r="A111" s="34"/>
      <c r="B111" s="21"/>
      <c r="C111" s="21"/>
      <c r="D111" s="21"/>
    </row>
    <row r="112">
      <c r="A112" s="34"/>
      <c r="B112" s="21"/>
      <c r="C112" s="21"/>
      <c r="D112" s="21"/>
    </row>
    <row r="113">
      <c r="A113" s="34"/>
      <c r="B113" s="21"/>
      <c r="C113" s="21"/>
      <c r="D113" s="21"/>
    </row>
    <row r="114">
      <c r="A114" s="34"/>
      <c r="B114" s="21"/>
      <c r="C114" s="21"/>
      <c r="D114" s="21"/>
    </row>
    <row r="115">
      <c r="A115" s="34"/>
      <c r="B115" s="21"/>
      <c r="C115" s="21"/>
      <c r="D115" s="21"/>
    </row>
    <row r="116">
      <c r="A116" s="34"/>
      <c r="B116" s="21"/>
      <c r="C116" s="21"/>
      <c r="D116" s="21"/>
    </row>
    <row r="117">
      <c r="A117" s="34"/>
      <c r="B117" s="21"/>
      <c r="C117" s="21"/>
      <c r="D117" s="21"/>
    </row>
    <row r="118">
      <c r="A118" s="34"/>
      <c r="B118" s="21"/>
      <c r="C118" s="21"/>
      <c r="D118" s="21"/>
    </row>
    <row r="119">
      <c r="A119" s="34"/>
      <c r="B119" s="21"/>
      <c r="C119" s="21"/>
      <c r="D119" s="21"/>
    </row>
    <row r="120">
      <c r="A120" s="34"/>
      <c r="B120" s="21"/>
      <c r="C120" s="21"/>
      <c r="D120" s="21"/>
    </row>
    <row r="121">
      <c r="A121" s="34"/>
      <c r="B121" s="21"/>
      <c r="C121" s="21"/>
      <c r="D121" s="21"/>
    </row>
    <row r="122">
      <c r="A122" s="34"/>
      <c r="B122" s="21"/>
      <c r="C122" s="21"/>
      <c r="D122" s="21"/>
    </row>
    <row r="123">
      <c r="A123" s="34"/>
      <c r="B123" s="21"/>
      <c r="C123" s="21"/>
      <c r="D123" s="21"/>
    </row>
    <row r="124">
      <c r="A124" s="34"/>
      <c r="B124" s="21"/>
      <c r="C124" s="21"/>
      <c r="D124" s="21"/>
    </row>
    <row r="125">
      <c r="A125" s="34"/>
      <c r="B125" s="21"/>
      <c r="C125" s="21"/>
      <c r="D125" s="21"/>
    </row>
    <row r="126">
      <c r="A126" s="34"/>
      <c r="B126" s="21"/>
      <c r="C126" s="21"/>
      <c r="D126" s="21"/>
    </row>
    <row r="127">
      <c r="A127" s="34"/>
      <c r="B127" s="21"/>
      <c r="C127" s="21"/>
      <c r="D127" s="21"/>
    </row>
    <row r="128">
      <c r="A128" s="34"/>
      <c r="B128" s="21"/>
      <c r="C128" s="21"/>
      <c r="D128" s="21"/>
    </row>
    <row r="129">
      <c r="A129" s="34"/>
      <c r="B129" s="21"/>
      <c r="C129" s="21"/>
      <c r="D129" s="21"/>
    </row>
    <row r="130">
      <c r="A130" s="34"/>
      <c r="B130" s="21"/>
      <c r="C130" s="21"/>
      <c r="D130" s="21"/>
    </row>
    <row r="131">
      <c r="A131" s="34"/>
      <c r="B131" s="21"/>
      <c r="C131" s="21"/>
      <c r="D131" s="21"/>
    </row>
    <row r="132">
      <c r="A132" s="34"/>
      <c r="B132" s="21"/>
      <c r="C132" s="21"/>
      <c r="D132" s="21"/>
    </row>
    <row r="133">
      <c r="A133" s="34"/>
      <c r="B133" s="21"/>
      <c r="C133" s="21"/>
      <c r="D133" s="21"/>
    </row>
    <row r="134">
      <c r="A134" s="34"/>
      <c r="B134" s="21"/>
      <c r="C134" s="21"/>
      <c r="D134" s="21"/>
    </row>
    <row r="135">
      <c r="A135" s="34"/>
      <c r="B135" s="21"/>
      <c r="C135" s="21"/>
      <c r="D135" s="21"/>
    </row>
    <row r="136">
      <c r="A136" s="34"/>
      <c r="B136" s="21"/>
      <c r="C136" s="21"/>
      <c r="D136" s="21"/>
    </row>
    <row r="137">
      <c r="A137" s="34"/>
      <c r="B137" s="21"/>
      <c r="C137" s="21"/>
      <c r="D137" s="21"/>
    </row>
    <row r="138">
      <c r="A138" s="34"/>
      <c r="B138" s="21"/>
      <c r="C138" s="21"/>
      <c r="D138" s="21"/>
    </row>
    <row r="139">
      <c r="A139" s="34"/>
      <c r="B139" s="21"/>
      <c r="C139" s="21"/>
      <c r="D139" s="21"/>
    </row>
    <row r="140">
      <c r="A140" s="34"/>
      <c r="B140" s="21"/>
      <c r="C140" s="21"/>
      <c r="D140" s="21"/>
    </row>
    <row r="141">
      <c r="A141" s="34"/>
      <c r="B141" s="21"/>
      <c r="C141" s="21"/>
      <c r="D141" s="21"/>
    </row>
    <row r="142">
      <c r="A142" s="34"/>
      <c r="B142" s="21"/>
      <c r="C142" s="21"/>
      <c r="D142" s="21"/>
    </row>
    <row r="143">
      <c r="A143" s="34"/>
      <c r="B143" s="21"/>
      <c r="C143" s="21"/>
      <c r="D143" s="21"/>
    </row>
    <row r="144">
      <c r="A144" s="34"/>
      <c r="B144" s="21"/>
      <c r="C144" s="21"/>
      <c r="D144" s="21"/>
    </row>
    <row r="145">
      <c r="A145" s="34"/>
      <c r="B145" s="21"/>
      <c r="C145" s="21"/>
      <c r="D145" s="21"/>
    </row>
    <row r="146">
      <c r="A146" s="34"/>
      <c r="B146" s="21"/>
      <c r="C146" s="21"/>
      <c r="D146" s="21"/>
    </row>
    <row r="147">
      <c r="A147" s="34"/>
      <c r="B147" s="21"/>
      <c r="C147" s="21"/>
      <c r="D147" s="21"/>
    </row>
    <row r="148">
      <c r="A148" s="34"/>
      <c r="B148" s="21"/>
      <c r="C148" s="21"/>
      <c r="D148" s="21"/>
    </row>
    <row r="149">
      <c r="A149" s="34"/>
      <c r="B149" s="21"/>
      <c r="C149" s="21"/>
      <c r="D149" s="21"/>
    </row>
    <row r="150">
      <c r="A150" s="34"/>
      <c r="B150" s="21"/>
      <c r="C150" s="21"/>
      <c r="D150" s="21"/>
    </row>
    <row r="151">
      <c r="A151" s="34"/>
      <c r="B151" s="21"/>
      <c r="C151" s="21"/>
      <c r="D151" s="21"/>
    </row>
    <row r="152">
      <c r="A152" s="34"/>
      <c r="B152" s="21"/>
      <c r="C152" s="21"/>
      <c r="D152" s="21"/>
    </row>
    <row r="153">
      <c r="A153" s="34"/>
      <c r="B153" s="21"/>
      <c r="C153" s="21"/>
      <c r="D153" s="21"/>
    </row>
    <row r="154">
      <c r="A154" s="34"/>
      <c r="B154" s="21"/>
      <c r="C154" s="21"/>
      <c r="D154" s="21"/>
    </row>
    <row r="155">
      <c r="A155" s="34"/>
      <c r="B155" s="21"/>
      <c r="C155" s="21"/>
      <c r="D155" s="21"/>
    </row>
    <row r="156">
      <c r="A156" s="34"/>
      <c r="B156" s="21"/>
      <c r="C156" s="21"/>
      <c r="D156" s="21"/>
    </row>
    <row r="157">
      <c r="A157" s="34"/>
      <c r="B157" s="21"/>
      <c r="C157" s="21"/>
      <c r="D157" s="21"/>
    </row>
    <row r="158">
      <c r="A158" s="34"/>
      <c r="B158" s="21"/>
      <c r="C158" s="21"/>
      <c r="D158" s="21"/>
    </row>
    <row r="159">
      <c r="A159" s="34"/>
      <c r="B159" s="21"/>
      <c r="C159" s="21"/>
      <c r="D159" s="21"/>
    </row>
    <row r="160">
      <c r="A160" s="34"/>
      <c r="B160" s="21"/>
      <c r="C160" s="21"/>
      <c r="D160" s="21"/>
    </row>
    <row r="161">
      <c r="A161" s="34"/>
      <c r="B161" s="21"/>
      <c r="C161" s="21"/>
      <c r="D161" s="21"/>
    </row>
    <row r="162">
      <c r="A162" s="34"/>
      <c r="B162" s="21"/>
      <c r="C162" s="21"/>
      <c r="D162" s="21"/>
    </row>
    <row r="163">
      <c r="A163" s="34"/>
      <c r="B163" s="21"/>
      <c r="C163" s="21"/>
      <c r="D163" s="21"/>
    </row>
    <row r="164">
      <c r="A164" s="34"/>
      <c r="B164" s="21"/>
      <c r="C164" s="21"/>
      <c r="D164" s="21"/>
    </row>
    <row r="165">
      <c r="A165" s="34"/>
      <c r="B165" s="21"/>
      <c r="C165" s="21"/>
      <c r="D165" s="21"/>
    </row>
    <row r="166">
      <c r="A166" s="34"/>
      <c r="B166" s="21"/>
      <c r="C166" s="21"/>
      <c r="D166" s="21"/>
    </row>
    <row r="167">
      <c r="A167" s="34"/>
      <c r="B167" s="21"/>
      <c r="C167" s="21"/>
      <c r="D167" s="21"/>
    </row>
    <row r="168">
      <c r="A168" s="34"/>
      <c r="B168" s="21"/>
      <c r="C168" s="21"/>
      <c r="D168" s="21"/>
    </row>
    <row r="169">
      <c r="A169" s="34"/>
      <c r="B169" s="21"/>
      <c r="C169" s="21"/>
      <c r="D169" s="21"/>
    </row>
    <row r="170">
      <c r="A170" s="34"/>
      <c r="B170" s="21"/>
      <c r="C170" s="21"/>
      <c r="D170" s="21"/>
    </row>
    <row r="171">
      <c r="A171" s="34"/>
      <c r="B171" s="21"/>
      <c r="C171" s="21"/>
      <c r="D171" s="21"/>
    </row>
    <row r="172">
      <c r="A172" s="34"/>
      <c r="B172" s="21"/>
      <c r="C172" s="21"/>
      <c r="D172" s="21"/>
    </row>
    <row r="173">
      <c r="A173" s="34"/>
      <c r="B173" s="21"/>
      <c r="C173" s="21"/>
      <c r="D173" s="21"/>
    </row>
    <row r="174">
      <c r="A174" s="34"/>
      <c r="B174" s="21"/>
      <c r="C174" s="21"/>
      <c r="D174" s="21"/>
    </row>
    <row r="175">
      <c r="A175" s="34"/>
      <c r="B175" s="21"/>
      <c r="C175" s="21"/>
      <c r="D175" s="21"/>
    </row>
    <row r="176">
      <c r="A176" s="34"/>
      <c r="B176" s="21"/>
      <c r="C176" s="21"/>
      <c r="D176" s="21"/>
    </row>
    <row r="177">
      <c r="A177" s="34"/>
      <c r="B177" s="21"/>
      <c r="C177" s="21"/>
      <c r="D177" s="21"/>
    </row>
    <row r="178">
      <c r="A178" s="34"/>
      <c r="B178" s="21"/>
      <c r="C178" s="21"/>
      <c r="D178" s="21"/>
    </row>
    <row r="179">
      <c r="A179" s="34"/>
      <c r="B179" s="21"/>
      <c r="C179" s="21"/>
      <c r="D179" s="21"/>
    </row>
    <row r="180">
      <c r="A180" s="34"/>
      <c r="B180" s="21"/>
      <c r="C180" s="21"/>
      <c r="D180" s="21"/>
    </row>
    <row r="181">
      <c r="A181" s="34"/>
      <c r="B181" s="21"/>
      <c r="C181" s="21"/>
      <c r="D181" s="21"/>
    </row>
    <row r="182">
      <c r="A182" s="34"/>
      <c r="B182" s="21"/>
      <c r="C182" s="21"/>
      <c r="D182" s="21"/>
    </row>
    <row r="183">
      <c r="A183" s="34"/>
      <c r="B183" s="21"/>
      <c r="C183" s="21"/>
      <c r="D183" s="21"/>
    </row>
    <row r="184">
      <c r="A184" s="34"/>
      <c r="B184" s="21"/>
      <c r="C184" s="21"/>
      <c r="D184" s="21"/>
    </row>
    <row r="185">
      <c r="A185" s="34"/>
      <c r="B185" s="21"/>
      <c r="C185" s="21"/>
      <c r="D185" s="21"/>
    </row>
    <row r="186">
      <c r="A186" s="34"/>
      <c r="B186" s="21"/>
      <c r="C186" s="21"/>
      <c r="D186" s="21"/>
    </row>
    <row r="187">
      <c r="A187" s="34"/>
      <c r="B187" s="21"/>
      <c r="C187" s="21"/>
      <c r="D187" s="21"/>
    </row>
    <row r="188">
      <c r="A188" s="34"/>
      <c r="B188" s="21"/>
      <c r="C188" s="21"/>
      <c r="D188" s="21"/>
    </row>
    <row r="189">
      <c r="A189" s="34"/>
      <c r="B189" s="21"/>
      <c r="C189" s="21"/>
      <c r="D189" s="21"/>
    </row>
    <row r="190">
      <c r="A190" s="34"/>
      <c r="B190" s="21"/>
      <c r="C190" s="21"/>
      <c r="D190" s="21"/>
    </row>
    <row r="191">
      <c r="A191" s="34"/>
      <c r="B191" s="21"/>
      <c r="C191" s="21"/>
      <c r="D191" s="21"/>
    </row>
    <row r="192">
      <c r="A192" s="34"/>
      <c r="B192" s="21"/>
      <c r="C192" s="21"/>
      <c r="D192" s="21"/>
    </row>
    <row r="193">
      <c r="A193" s="34"/>
      <c r="B193" s="21"/>
      <c r="C193" s="21"/>
      <c r="D193" s="21"/>
    </row>
    <row r="194">
      <c r="A194" s="34"/>
      <c r="B194" s="21"/>
      <c r="C194" s="21"/>
      <c r="D194" s="21"/>
    </row>
    <row r="195">
      <c r="A195" s="34"/>
      <c r="B195" s="21"/>
      <c r="C195" s="21"/>
      <c r="D195" s="21"/>
    </row>
    <row r="196">
      <c r="A196" s="34"/>
      <c r="B196" s="21"/>
      <c r="C196" s="21"/>
      <c r="D196" s="21"/>
    </row>
    <row r="197">
      <c r="A197" s="34"/>
      <c r="B197" s="21"/>
      <c r="C197" s="21"/>
      <c r="D197" s="21"/>
    </row>
    <row r="198">
      <c r="A198" s="34"/>
      <c r="B198" s="21"/>
      <c r="C198" s="21"/>
      <c r="D198" s="21"/>
    </row>
    <row r="199">
      <c r="A199" s="34"/>
      <c r="B199" s="21"/>
      <c r="C199" s="21"/>
      <c r="D199" s="21"/>
    </row>
    <row r="200">
      <c r="A200" s="34"/>
      <c r="B200" s="21"/>
      <c r="C200" s="21"/>
      <c r="D200" s="21"/>
    </row>
    <row r="201">
      <c r="A201" s="34"/>
      <c r="B201" s="21"/>
      <c r="C201" s="21"/>
      <c r="D201" s="21"/>
    </row>
    <row r="202">
      <c r="A202" s="34"/>
      <c r="B202" s="21"/>
      <c r="C202" s="21"/>
      <c r="D202" s="21"/>
    </row>
    <row r="203">
      <c r="A203" s="34"/>
      <c r="B203" s="21"/>
      <c r="C203" s="21"/>
      <c r="D203" s="21"/>
    </row>
    <row r="204">
      <c r="A204" s="34"/>
      <c r="B204" s="21"/>
      <c r="C204" s="21"/>
      <c r="D204" s="21"/>
    </row>
    <row r="205">
      <c r="A205" s="34"/>
      <c r="B205" s="21"/>
      <c r="C205" s="21"/>
      <c r="D205" s="21"/>
    </row>
    <row r="206">
      <c r="A206" s="34"/>
      <c r="B206" s="21"/>
      <c r="C206" s="21"/>
      <c r="D206" s="21"/>
    </row>
    <row r="207">
      <c r="A207" s="34"/>
      <c r="B207" s="21"/>
      <c r="C207" s="21"/>
      <c r="D207" s="21"/>
    </row>
    <row r="208">
      <c r="A208" s="34"/>
      <c r="B208" s="21"/>
      <c r="C208" s="21"/>
      <c r="D208" s="21"/>
    </row>
    <row r="209">
      <c r="A209" s="34"/>
      <c r="B209" s="21"/>
      <c r="C209" s="21"/>
      <c r="D209" s="21"/>
    </row>
    <row r="210">
      <c r="A210" s="34"/>
      <c r="B210" s="21"/>
      <c r="C210" s="21"/>
      <c r="D210" s="21"/>
    </row>
    <row r="211">
      <c r="A211" s="34"/>
      <c r="B211" s="21"/>
      <c r="C211" s="21"/>
      <c r="D211" s="21"/>
    </row>
    <row r="212">
      <c r="A212" s="34"/>
      <c r="B212" s="21"/>
      <c r="C212" s="21"/>
      <c r="D212" s="21"/>
    </row>
    <row r="213">
      <c r="A213" s="34"/>
      <c r="B213" s="21"/>
      <c r="C213" s="21"/>
      <c r="D213" s="21"/>
    </row>
    <row r="214">
      <c r="A214" s="34"/>
      <c r="B214" s="21"/>
      <c r="C214" s="21"/>
      <c r="D214" s="21"/>
    </row>
    <row r="215">
      <c r="A215" s="34"/>
      <c r="B215" s="21"/>
      <c r="C215" s="21"/>
      <c r="D215" s="21"/>
    </row>
    <row r="216">
      <c r="A216" s="34"/>
      <c r="B216" s="21"/>
      <c r="C216" s="21"/>
      <c r="D216" s="21"/>
    </row>
    <row r="217">
      <c r="A217" s="34"/>
      <c r="B217" s="21"/>
      <c r="C217" s="21"/>
      <c r="D217" s="21"/>
    </row>
    <row r="218">
      <c r="A218" s="34"/>
      <c r="B218" s="21"/>
      <c r="C218" s="21"/>
      <c r="D218" s="21"/>
    </row>
    <row r="219">
      <c r="A219" s="34"/>
      <c r="B219" s="21"/>
      <c r="C219" s="21"/>
      <c r="D219" s="21"/>
    </row>
    <row r="220">
      <c r="A220" s="34"/>
      <c r="B220" s="21"/>
      <c r="C220" s="21"/>
      <c r="D220" s="21"/>
    </row>
    <row r="221">
      <c r="A221" s="34"/>
      <c r="B221" s="21"/>
      <c r="C221" s="21"/>
      <c r="D221" s="21"/>
    </row>
    <row r="222">
      <c r="A222" s="34"/>
      <c r="B222" s="21"/>
      <c r="C222" s="21"/>
      <c r="D222" s="21"/>
    </row>
    <row r="223">
      <c r="A223" s="34"/>
      <c r="B223" s="21"/>
      <c r="C223" s="21"/>
      <c r="D223" s="21"/>
    </row>
    <row r="224">
      <c r="A224" s="34"/>
      <c r="B224" s="21"/>
      <c r="C224" s="21"/>
      <c r="D224" s="21"/>
    </row>
    <row r="225">
      <c r="A225" s="34"/>
      <c r="B225" s="21"/>
      <c r="C225" s="21"/>
      <c r="D225" s="21"/>
    </row>
    <row r="226">
      <c r="A226" s="34"/>
      <c r="B226" s="21"/>
      <c r="C226" s="21"/>
      <c r="D226" s="21"/>
    </row>
    <row r="227">
      <c r="A227" s="34"/>
      <c r="B227" s="21"/>
      <c r="C227" s="21"/>
      <c r="D227" s="21"/>
    </row>
    <row r="228">
      <c r="A228" s="34"/>
      <c r="B228" s="21"/>
      <c r="C228" s="21"/>
      <c r="D228" s="21"/>
    </row>
    <row r="229">
      <c r="A229" s="34"/>
      <c r="B229" s="21"/>
      <c r="C229" s="21"/>
      <c r="D229" s="21"/>
    </row>
    <row r="230">
      <c r="A230" s="34"/>
      <c r="B230" s="21"/>
      <c r="C230" s="21"/>
      <c r="D230" s="21"/>
    </row>
    <row r="231">
      <c r="A231" s="34"/>
      <c r="B231" s="21"/>
      <c r="C231" s="21"/>
      <c r="D231" s="21"/>
    </row>
    <row r="232">
      <c r="A232" s="34"/>
      <c r="B232" s="21"/>
      <c r="C232" s="21"/>
      <c r="D232" s="21"/>
    </row>
    <row r="233">
      <c r="A233" s="34"/>
      <c r="B233" s="21"/>
      <c r="C233" s="21"/>
      <c r="D233" s="21"/>
    </row>
    <row r="234">
      <c r="A234" s="34"/>
      <c r="B234" s="21"/>
      <c r="C234" s="21"/>
      <c r="D234" s="21"/>
    </row>
    <row r="235">
      <c r="A235" s="34"/>
      <c r="B235" s="21"/>
      <c r="C235" s="21"/>
      <c r="D235" s="21"/>
    </row>
    <row r="236">
      <c r="A236" s="34"/>
      <c r="B236" s="21"/>
      <c r="C236" s="21"/>
      <c r="D236" s="21"/>
    </row>
    <row r="237">
      <c r="A237" s="34"/>
      <c r="B237" s="21"/>
      <c r="C237" s="21"/>
      <c r="D237" s="21"/>
    </row>
    <row r="238">
      <c r="A238" s="34"/>
      <c r="B238" s="21"/>
      <c r="C238" s="21"/>
      <c r="D238" s="21"/>
    </row>
    <row r="239">
      <c r="A239" s="34"/>
      <c r="B239" s="21"/>
      <c r="C239" s="21"/>
      <c r="D239" s="21"/>
    </row>
    <row r="240">
      <c r="A240" s="34"/>
      <c r="B240" s="21"/>
      <c r="C240" s="21"/>
      <c r="D240" s="21"/>
    </row>
    <row r="241">
      <c r="A241" s="34"/>
      <c r="B241" s="21"/>
      <c r="C241" s="21"/>
      <c r="D241" s="21"/>
    </row>
    <row r="242">
      <c r="A242" s="34"/>
      <c r="B242" s="21"/>
      <c r="C242" s="21"/>
      <c r="D242" s="21"/>
    </row>
    <row r="243">
      <c r="A243" s="34"/>
      <c r="B243" s="21"/>
      <c r="C243" s="21"/>
      <c r="D243" s="21"/>
    </row>
    <row r="244">
      <c r="A244" s="34"/>
      <c r="B244" s="21"/>
      <c r="C244" s="21"/>
      <c r="D244" s="21"/>
    </row>
    <row r="245">
      <c r="A245" s="34"/>
      <c r="B245" s="21"/>
      <c r="C245" s="21"/>
      <c r="D245" s="21"/>
    </row>
    <row r="246">
      <c r="A246" s="34"/>
      <c r="B246" s="21"/>
      <c r="C246" s="21"/>
      <c r="D246" s="21"/>
    </row>
    <row r="247">
      <c r="A247" s="34"/>
      <c r="B247" s="21"/>
      <c r="C247" s="21"/>
      <c r="D247" s="21"/>
    </row>
    <row r="248">
      <c r="A248" s="34"/>
      <c r="B248" s="21"/>
      <c r="C248" s="21"/>
      <c r="D248" s="21"/>
    </row>
    <row r="249">
      <c r="A249" s="34"/>
      <c r="B249" s="21"/>
      <c r="C249" s="21"/>
      <c r="D249" s="21"/>
    </row>
    <row r="250">
      <c r="A250" s="34"/>
      <c r="B250" s="21"/>
      <c r="C250" s="21"/>
      <c r="D250" s="21"/>
    </row>
    <row r="251">
      <c r="A251" s="34"/>
      <c r="B251" s="21"/>
      <c r="C251" s="21"/>
      <c r="D251" s="21"/>
    </row>
    <row r="252">
      <c r="A252" s="34"/>
      <c r="B252" s="21"/>
      <c r="C252" s="21"/>
      <c r="D252" s="21"/>
    </row>
    <row r="253">
      <c r="A253" s="34"/>
      <c r="B253" s="21"/>
      <c r="C253" s="21"/>
      <c r="D253" s="21"/>
    </row>
    <row r="254">
      <c r="A254" s="34"/>
      <c r="B254" s="21"/>
      <c r="C254" s="21"/>
      <c r="D254" s="21"/>
    </row>
    <row r="255">
      <c r="A255" s="34"/>
      <c r="B255" s="21"/>
      <c r="C255" s="21"/>
      <c r="D255" s="21"/>
    </row>
    <row r="256">
      <c r="A256" s="34"/>
      <c r="B256" s="21"/>
      <c r="C256" s="21"/>
      <c r="D256" s="21"/>
    </row>
    <row r="257">
      <c r="A257" s="34"/>
      <c r="B257" s="21"/>
      <c r="C257" s="21"/>
      <c r="D257" s="21"/>
    </row>
    <row r="258">
      <c r="A258" s="34"/>
      <c r="B258" s="21"/>
      <c r="C258" s="21"/>
      <c r="D258" s="21"/>
    </row>
    <row r="259">
      <c r="A259" s="34"/>
      <c r="B259" s="21"/>
      <c r="C259" s="21"/>
      <c r="D259" s="21"/>
    </row>
    <row r="260">
      <c r="A260" s="34"/>
      <c r="B260" s="21"/>
      <c r="C260" s="21"/>
      <c r="D260" s="21"/>
    </row>
    <row r="261">
      <c r="A261" s="34"/>
      <c r="B261" s="21"/>
      <c r="C261" s="21"/>
      <c r="D261" s="21"/>
    </row>
    <row r="262">
      <c r="A262" s="34"/>
      <c r="B262" s="21"/>
      <c r="C262" s="21"/>
      <c r="D262" s="21"/>
    </row>
    <row r="263">
      <c r="A263" s="34"/>
      <c r="B263" s="21"/>
      <c r="C263" s="21"/>
      <c r="D263" s="21"/>
    </row>
    <row r="264">
      <c r="A264" s="34"/>
      <c r="B264" s="21"/>
      <c r="C264" s="21"/>
      <c r="D264" s="21"/>
    </row>
    <row r="265">
      <c r="A265" s="34"/>
      <c r="B265" s="21"/>
      <c r="C265" s="21"/>
      <c r="D265" s="21"/>
    </row>
    <row r="266">
      <c r="A266" s="34"/>
      <c r="B266" s="21"/>
      <c r="C266" s="21"/>
      <c r="D266" s="21"/>
    </row>
    <row r="267">
      <c r="A267" s="34"/>
      <c r="B267" s="21"/>
      <c r="C267" s="21"/>
      <c r="D267" s="21"/>
    </row>
    <row r="268">
      <c r="A268" s="34"/>
      <c r="B268" s="21"/>
      <c r="C268" s="21"/>
      <c r="D268" s="21"/>
    </row>
    <row r="269">
      <c r="A269" s="34"/>
      <c r="B269" s="21"/>
      <c r="C269" s="21"/>
      <c r="D269" s="21"/>
    </row>
    <row r="270">
      <c r="A270" s="34"/>
      <c r="B270" s="21"/>
      <c r="C270" s="21"/>
      <c r="D270" s="21"/>
    </row>
    <row r="271">
      <c r="A271" s="34"/>
      <c r="B271" s="21"/>
      <c r="C271" s="21"/>
      <c r="D271" s="21"/>
    </row>
    <row r="272">
      <c r="A272" s="34"/>
      <c r="B272" s="21"/>
      <c r="C272" s="21"/>
      <c r="D272" s="21"/>
    </row>
    <row r="273">
      <c r="A273" s="34"/>
      <c r="B273" s="21"/>
      <c r="C273" s="21"/>
      <c r="D273" s="21"/>
    </row>
    <row r="274">
      <c r="A274" s="34"/>
      <c r="B274" s="21"/>
      <c r="C274" s="21"/>
      <c r="D274" s="21"/>
    </row>
    <row r="275">
      <c r="A275" s="34"/>
      <c r="B275" s="21"/>
      <c r="C275" s="21"/>
      <c r="D275" s="21"/>
    </row>
    <row r="276">
      <c r="A276" s="34"/>
      <c r="B276" s="21"/>
      <c r="C276" s="21"/>
      <c r="D276" s="21"/>
    </row>
    <row r="277">
      <c r="A277" s="34"/>
      <c r="B277" s="21"/>
      <c r="C277" s="21"/>
      <c r="D277" s="21"/>
    </row>
    <row r="278">
      <c r="A278" s="34"/>
      <c r="B278" s="21"/>
      <c r="C278" s="21"/>
      <c r="D278" s="21"/>
    </row>
    <row r="279">
      <c r="A279" s="34"/>
      <c r="B279" s="21"/>
      <c r="C279" s="21"/>
      <c r="D279" s="21"/>
    </row>
    <row r="280">
      <c r="A280" s="34"/>
      <c r="B280" s="21"/>
      <c r="C280" s="21"/>
      <c r="D280" s="21"/>
    </row>
    <row r="281">
      <c r="A281" s="34"/>
      <c r="B281" s="21"/>
      <c r="C281" s="21"/>
      <c r="D281" s="21"/>
    </row>
    <row r="282">
      <c r="A282" s="34"/>
      <c r="B282" s="21"/>
      <c r="C282" s="21"/>
      <c r="D282" s="21"/>
    </row>
    <row r="283">
      <c r="A283" s="34"/>
      <c r="B283" s="21"/>
      <c r="C283" s="21"/>
      <c r="D283" s="21"/>
    </row>
    <row r="284">
      <c r="A284" s="34"/>
      <c r="B284" s="21"/>
      <c r="C284" s="21"/>
      <c r="D284" s="21"/>
    </row>
    <row r="285">
      <c r="A285" s="34"/>
      <c r="B285" s="21"/>
      <c r="C285" s="21"/>
      <c r="D285" s="21"/>
    </row>
    <row r="286">
      <c r="A286" s="34"/>
      <c r="B286" s="21"/>
      <c r="C286" s="21"/>
      <c r="D286" s="21"/>
    </row>
    <row r="287">
      <c r="A287" s="34"/>
      <c r="B287" s="21"/>
      <c r="C287" s="21"/>
      <c r="D287" s="21"/>
    </row>
    <row r="288">
      <c r="A288" s="34"/>
      <c r="B288" s="21"/>
      <c r="C288" s="21"/>
      <c r="D288" s="21"/>
    </row>
    <row r="289">
      <c r="A289" s="34"/>
      <c r="B289" s="21"/>
      <c r="C289" s="21"/>
      <c r="D289" s="21"/>
    </row>
    <row r="290">
      <c r="A290" s="34"/>
      <c r="B290" s="21"/>
      <c r="C290" s="21"/>
      <c r="D290" s="21"/>
    </row>
    <row r="291">
      <c r="A291" s="34"/>
      <c r="B291" s="21"/>
      <c r="C291" s="21"/>
      <c r="D291" s="21"/>
    </row>
    <row r="292">
      <c r="A292" s="34"/>
      <c r="B292" s="21"/>
      <c r="C292" s="21"/>
      <c r="D292" s="21"/>
    </row>
    <row r="293">
      <c r="A293" s="34"/>
      <c r="B293" s="21"/>
      <c r="C293" s="21"/>
      <c r="D293" s="21"/>
    </row>
    <row r="294">
      <c r="A294" s="34"/>
      <c r="B294" s="21"/>
      <c r="C294" s="21"/>
      <c r="D294" s="21"/>
    </row>
    <row r="295">
      <c r="A295" s="34"/>
      <c r="B295" s="21"/>
      <c r="C295" s="21"/>
      <c r="D295" s="21"/>
    </row>
    <row r="296">
      <c r="A296" s="34"/>
      <c r="B296" s="21"/>
      <c r="C296" s="21"/>
      <c r="D296" s="21"/>
    </row>
    <row r="297">
      <c r="A297" s="34"/>
      <c r="B297" s="21"/>
      <c r="C297" s="21"/>
      <c r="D297" s="21"/>
    </row>
    <row r="298">
      <c r="A298" s="34"/>
      <c r="B298" s="21"/>
      <c r="C298" s="21"/>
      <c r="D298" s="21"/>
    </row>
    <row r="299">
      <c r="A299" s="34"/>
      <c r="B299" s="21"/>
      <c r="C299" s="21"/>
      <c r="D299" s="21"/>
    </row>
    <row r="300">
      <c r="A300" s="34"/>
      <c r="B300" s="21"/>
      <c r="C300" s="21"/>
      <c r="D300" s="21"/>
    </row>
    <row r="301">
      <c r="A301" s="34"/>
      <c r="B301" s="21"/>
      <c r="C301" s="21"/>
      <c r="D301" s="21"/>
    </row>
    <row r="302">
      <c r="A302" s="34"/>
      <c r="B302" s="21"/>
      <c r="C302" s="21"/>
      <c r="D302" s="21"/>
    </row>
    <row r="303">
      <c r="A303" s="34"/>
      <c r="B303" s="21"/>
      <c r="C303" s="21"/>
      <c r="D303" s="21"/>
    </row>
    <row r="304">
      <c r="A304" s="34"/>
      <c r="B304" s="21"/>
      <c r="C304" s="21"/>
      <c r="D304" s="21"/>
    </row>
    <row r="305">
      <c r="A305" s="34"/>
      <c r="B305" s="21"/>
      <c r="C305" s="21"/>
      <c r="D305" s="21"/>
    </row>
    <row r="306">
      <c r="A306" s="34"/>
      <c r="B306" s="21"/>
      <c r="C306" s="21"/>
      <c r="D306" s="21"/>
    </row>
    <row r="307">
      <c r="A307" s="34"/>
      <c r="B307" s="21"/>
      <c r="C307" s="21"/>
      <c r="D307" s="21"/>
    </row>
    <row r="308">
      <c r="A308" s="34"/>
      <c r="B308" s="21"/>
      <c r="C308" s="21"/>
      <c r="D308" s="21"/>
    </row>
    <row r="309">
      <c r="A309" s="34"/>
      <c r="B309" s="21"/>
      <c r="C309" s="21"/>
      <c r="D309" s="21"/>
    </row>
    <row r="310">
      <c r="A310" s="34"/>
      <c r="B310" s="21"/>
      <c r="C310" s="21"/>
      <c r="D310" s="21"/>
    </row>
    <row r="311">
      <c r="A311" s="34"/>
      <c r="B311" s="21"/>
      <c r="C311" s="21"/>
      <c r="D311" s="21"/>
    </row>
    <row r="312">
      <c r="A312" s="34"/>
      <c r="B312" s="21"/>
      <c r="C312" s="21"/>
      <c r="D312" s="21"/>
    </row>
    <row r="313">
      <c r="A313" s="34"/>
      <c r="B313" s="21"/>
      <c r="C313" s="21"/>
      <c r="D313" s="21"/>
    </row>
    <row r="314">
      <c r="A314" s="34"/>
      <c r="B314" s="21"/>
      <c r="C314" s="21"/>
      <c r="D314" s="21"/>
    </row>
    <row r="315">
      <c r="A315" s="34"/>
      <c r="B315" s="21"/>
      <c r="C315" s="21"/>
      <c r="D315" s="21"/>
    </row>
    <row r="316">
      <c r="A316" s="34"/>
      <c r="B316" s="21"/>
      <c r="C316" s="21"/>
      <c r="D316" s="21"/>
    </row>
    <row r="317">
      <c r="A317" s="34"/>
      <c r="B317" s="21"/>
      <c r="C317" s="21"/>
      <c r="D317" s="21"/>
    </row>
    <row r="318">
      <c r="A318" s="34"/>
      <c r="B318" s="21"/>
      <c r="C318" s="21"/>
      <c r="D318" s="21"/>
    </row>
    <row r="319">
      <c r="A319" s="34"/>
      <c r="B319" s="21"/>
      <c r="C319" s="21"/>
      <c r="D319" s="21"/>
    </row>
    <row r="320">
      <c r="A320" s="34"/>
      <c r="B320" s="21"/>
      <c r="C320" s="21"/>
      <c r="D320" s="21"/>
    </row>
    <row r="321">
      <c r="A321" s="34"/>
      <c r="B321" s="21"/>
      <c r="C321" s="21"/>
      <c r="D321" s="21"/>
    </row>
    <row r="322">
      <c r="A322" s="34"/>
      <c r="B322" s="21"/>
      <c r="C322" s="21"/>
      <c r="D322" s="21"/>
    </row>
    <row r="323">
      <c r="A323" s="34"/>
      <c r="B323" s="21"/>
      <c r="C323" s="21"/>
      <c r="D323" s="21"/>
    </row>
    <row r="324">
      <c r="A324" s="34"/>
      <c r="B324" s="21"/>
      <c r="C324" s="21"/>
      <c r="D324" s="21"/>
    </row>
    <row r="325">
      <c r="A325" s="34"/>
      <c r="B325" s="21"/>
      <c r="C325" s="21"/>
      <c r="D325" s="21"/>
    </row>
    <row r="326">
      <c r="A326" s="34"/>
      <c r="B326" s="21"/>
      <c r="C326" s="21"/>
      <c r="D326" s="21"/>
    </row>
    <row r="327">
      <c r="A327" s="34"/>
      <c r="B327" s="21"/>
      <c r="C327" s="21"/>
      <c r="D327" s="21"/>
    </row>
    <row r="328">
      <c r="A328" s="34"/>
      <c r="B328" s="21"/>
      <c r="C328" s="21"/>
      <c r="D328" s="21"/>
    </row>
    <row r="329">
      <c r="A329" s="34"/>
      <c r="B329" s="21"/>
      <c r="C329" s="21"/>
      <c r="D329" s="21"/>
    </row>
    <row r="330">
      <c r="A330" s="34"/>
      <c r="B330" s="21"/>
      <c r="C330" s="21"/>
      <c r="D330" s="21"/>
    </row>
    <row r="331">
      <c r="A331" s="34"/>
      <c r="B331" s="21"/>
      <c r="C331" s="21"/>
      <c r="D331" s="21"/>
    </row>
    <row r="332">
      <c r="A332" s="34"/>
      <c r="B332" s="21"/>
      <c r="C332" s="21"/>
      <c r="D332" s="21"/>
    </row>
    <row r="333">
      <c r="A333" s="34"/>
      <c r="B333" s="21"/>
      <c r="C333" s="21"/>
      <c r="D333" s="21"/>
    </row>
    <row r="334">
      <c r="A334" s="34"/>
      <c r="B334" s="21"/>
      <c r="C334" s="21"/>
      <c r="D334" s="21"/>
    </row>
    <row r="335">
      <c r="A335" s="34"/>
      <c r="B335" s="21"/>
      <c r="C335" s="21"/>
      <c r="D335" s="21"/>
    </row>
    <row r="336">
      <c r="A336" s="34"/>
      <c r="B336" s="21"/>
      <c r="C336" s="21"/>
      <c r="D336" s="21"/>
    </row>
    <row r="337">
      <c r="A337" s="34"/>
      <c r="B337" s="21"/>
      <c r="C337" s="21"/>
      <c r="D337" s="21"/>
    </row>
    <row r="338">
      <c r="A338" s="34"/>
      <c r="B338" s="21"/>
      <c r="C338" s="21"/>
      <c r="D338" s="21"/>
    </row>
    <row r="339">
      <c r="A339" s="34"/>
      <c r="B339" s="21"/>
      <c r="C339" s="21"/>
      <c r="D339" s="21"/>
    </row>
    <row r="340">
      <c r="A340" s="34"/>
      <c r="B340" s="21"/>
      <c r="C340" s="21"/>
      <c r="D340" s="21"/>
    </row>
    <row r="341">
      <c r="A341" s="34"/>
      <c r="B341" s="21"/>
      <c r="C341" s="21"/>
      <c r="D341" s="21"/>
    </row>
    <row r="342">
      <c r="A342" s="34"/>
      <c r="B342" s="21"/>
      <c r="C342" s="21"/>
      <c r="D342" s="21"/>
    </row>
    <row r="343">
      <c r="A343" s="34"/>
      <c r="B343" s="21"/>
      <c r="C343" s="21"/>
      <c r="D343" s="21"/>
    </row>
    <row r="344">
      <c r="A344" s="34"/>
      <c r="B344" s="21"/>
      <c r="C344" s="21"/>
      <c r="D344" s="21"/>
    </row>
    <row r="345">
      <c r="A345" s="34"/>
      <c r="B345" s="21"/>
      <c r="C345" s="21"/>
      <c r="D345" s="21"/>
    </row>
    <row r="346">
      <c r="A346" s="34"/>
      <c r="B346" s="21"/>
      <c r="C346" s="21"/>
      <c r="D346" s="21"/>
    </row>
    <row r="347">
      <c r="A347" s="34"/>
      <c r="B347" s="21"/>
      <c r="C347" s="21"/>
      <c r="D347" s="21"/>
    </row>
    <row r="348">
      <c r="A348" s="34"/>
      <c r="B348" s="21"/>
      <c r="C348" s="21"/>
      <c r="D348" s="21"/>
    </row>
    <row r="349">
      <c r="A349" s="34"/>
      <c r="B349" s="21"/>
      <c r="C349" s="21"/>
      <c r="D349" s="21"/>
    </row>
    <row r="350">
      <c r="A350" s="34"/>
      <c r="B350" s="21"/>
      <c r="C350" s="21"/>
      <c r="D350" s="21"/>
    </row>
    <row r="351">
      <c r="A351" s="34"/>
      <c r="B351" s="21"/>
      <c r="C351" s="21"/>
      <c r="D351" s="21"/>
    </row>
    <row r="352">
      <c r="A352" s="34"/>
      <c r="B352" s="21"/>
      <c r="C352" s="21"/>
      <c r="D352" s="21"/>
    </row>
    <row r="353">
      <c r="A353" s="34"/>
      <c r="B353" s="21"/>
      <c r="C353" s="21"/>
      <c r="D353" s="21"/>
    </row>
    <row r="354">
      <c r="A354" s="34"/>
      <c r="B354" s="21"/>
      <c r="C354" s="21"/>
      <c r="D354" s="21"/>
    </row>
    <row r="355">
      <c r="A355" s="34"/>
      <c r="B355" s="21"/>
      <c r="C355" s="21"/>
      <c r="D355" s="21"/>
    </row>
    <row r="356">
      <c r="A356" s="34"/>
      <c r="B356" s="21"/>
      <c r="C356" s="21"/>
      <c r="D356" s="21"/>
    </row>
    <row r="357">
      <c r="A357" s="34"/>
      <c r="B357" s="21"/>
      <c r="C357" s="21"/>
      <c r="D357" s="21"/>
    </row>
    <row r="358">
      <c r="A358" s="34"/>
      <c r="B358" s="21"/>
      <c r="C358" s="21"/>
      <c r="D358" s="21"/>
    </row>
    <row r="359">
      <c r="A359" s="34"/>
      <c r="B359" s="21"/>
      <c r="C359" s="21"/>
      <c r="D359" s="21"/>
    </row>
    <row r="360">
      <c r="A360" s="34"/>
      <c r="B360" s="21"/>
      <c r="C360" s="21"/>
      <c r="D360" s="21"/>
    </row>
    <row r="361">
      <c r="A361" s="34"/>
      <c r="B361" s="21"/>
      <c r="C361" s="21"/>
      <c r="D361" s="21"/>
    </row>
    <row r="362">
      <c r="A362" s="34"/>
      <c r="B362" s="21"/>
      <c r="C362" s="21"/>
      <c r="D362" s="21"/>
    </row>
    <row r="363">
      <c r="A363" s="34"/>
      <c r="B363" s="21"/>
      <c r="C363" s="21"/>
      <c r="D363" s="21"/>
    </row>
    <row r="364">
      <c r="A364" s="34"/>
      <c r="B364" s="21"/>
      <c r="C364" s="21"/>
      <c r="D364" s="21"/>
    </row>
    <row r="365">
      <c r="A365" s="34"/>
      <c r="B365" s="21"/>
      <c r="C365" s="21"/>
      <c r="D365" s="21"/>
    </row>
    <row r="366">
      <c r="A366" s="34"/>
      <c r="B366" s="21"/>
      <c r="C366" s="21"/>
      <c r="D366" s="21"/>
    </row>
    <row r="367">
      <c r="A367" s="34"/>
      <c r="B367" s="21"/>
      <c r="C367" s="21"/>
      <c r="D367" s="21"/>
    </row>
    <row r="368">
      <c r="A368" s="34"/>
      <c r="B368" s="21"/>
      <c r="C368" s="21"/>
      <c r="D368" s="21"/>
    </row>
    <row r="369">
      <c r="A369" s="34"/>
      <c r="B369" s="21"/>
      <c r="C369" s="21"/>
      <c r="D369" s="21"/>
    </row>
    <row r="370">
      <c r="A370" s="34"/>
      <c r="B370" s="21"/>
      <c r="C370" s="21"/>
      <c r="D370" s="21"/>
    </row>
    <row r="371">
      <c r="A371" s="34"/>
      <c r="B371" s="21"/>
      <c r="C371" s="21"/>
      <c r="D371" s="21"/>
    </row>
    <row r="372">
      <c r="A372" s="34"/>
      <c r="B372" s="21"/>
      <c r="C372" s="21"/>
      <c r="D372" s="21"/>
    </row>
    <row r="373">
      <c r="A373" s="34"/>
      <c r="B373" s="21"/>
      <c r="C373" s="21"/>
      <c r="D373" s="21"/>
    </row>
    <row r="374">
      <c r="A374" s="34"/>
      <c r="B374" s="21"/>
      <c r="C374" s="21"/>
      <c r="D374" s="21"/>
    </row>
    <row r="375">
      <c r="A375" s="34"/>
      <c r="B375" s="21"/>
      <c r="C375" s="21"/>
      <c r="D375" s="21"/>
    </row>
    <row r="376">
      <c r="A376" s="34"/>
      <c r="B376" s="21"/>
      <c r="C376" s="21"/>
      <c r="D376" s="21"/>
    </row>
    <row r="377">
      <c r="A377" s="34"/>
      <c r="B377" s="21"/>
      <c r="C377" s="21"/>
      <c r="D377" s="21"/>
    </row>
    <row r="378">
      <c r="A378" s="34"/>
      <c r="B378" s="21"/>
      <c r="C378" s="21"/>
      <c r="D378" s="21"/>
    </row>
    <row r="379">
      <c r="A379" s="34"/>
      <c r="B379" s="21"/>
      <c r="C379" s="21"/>
      <c r="D379" s="21"/>
    </row>
    <row r="380">
      <c r="A380" s="34"/>
      <c r="B380" s="21"/>
      <c r="C380" s="21"/>
      <c r="D380" s="21"/>
    </row>
    <row r="381">
      <c r="A381" s="34"/>
      <c r="B381" s="21"/>
      <c r="C381" s="21"/>
      <c r="D381" s="21"/>
    </row>
    <row r="382">
      <c r="A382" s="34"/>
      <c r="B382" s="21"/>
      <c r="C382" s="21"/>
      <c r="D382" s="21"/>
    </row>
    <row r="383">
      <c r="A383" s="34"/>
      <c r="B383" s="21"/>
      <c r="C383" s="21"/>
      <c r="D383" s="21"/>
    </row>
    <row r="384">
      <c r="A384" s="34"/>
      <c r="B384" s="21"/>
      <c r="C384" s="21"/>
      <c r="D384" s="21"/>
    </row>
    <row r="385">
      <c r="A385" s="34"/>
      <c r="B385" s="21"/>
      <c r="C385" s="21"/>
      <c r="D385" s="21"/>
    </row>
    <row r="386">
      <c r="A386" s="34"/>
      <c r="B386" s="21"/>
      <c r="C386" s="21"/>
      <c r="D386" s="21"/>
    </row>
    <row r="387">
      <c r="A387" s="34"/>
      <c r="B387" s="21"/>
      <c r="C387" s="21"/>
      <c r="D387" s="21"/>
    </row>
    <row r="388">
      <c r="A388" s="34"/>
      <c r="B388" s="21"/>
      <c r="C388" s="21"/>
      <c r="D388" s="21"/>
    </row>
    <row r="389">
      <c r="A389" s="34"/>
      <c r="B389" s="21"/>
      <c r="C389" s="21"/>
      <c r="D389" s="21"/>
    </row>
    <row r="390">
      <c r="A390" s="34"/>
      <c r="B390" s="21"/>
      <c r="C390" s="21"/>
      <c r="D390" s="21"/>
    </row>
    <row r="391">
      <c r="A391" s="34"/>
      <c r="B391" s="21"/>
      <c r="C391" s="21"/>
      <c r="D391" s="21"/>
    </row>
    <row r="392">
      <c r="A392" s="34"/>
      <c r="B392" s="21"/>
      <c r="C392" s="21"/>
      <c r="D392" s="21"/>
    </row>
    <row r="393">
      <c r="A393" s="34"/>
      <c r="B393" s="21"/>
      <c r="C393" s="21"/>
      <c r="D393" s="21"/>
    </row>
    <row r="394">
      <c r="A394" s="34"/>
      <c r="B394" s="21"/>
      <c r="C394" s="21"/>
      <c r="D394" s="21"/>
    </row>
    <row r="395">
      <c r="A395" s="34"/>
      <c r="B395" s="21"/>
      <c r="C395" s="21"/>
      <c r="D395" s="21"/>
    </row>
    <row r="396">
      <c r="A396" s="34"/>
      <c r="B396" s="21"/>
      <c r="C396" s="21"/>
      <c r="D396" s="21"/>
    </row>
    <row r="397">
      <c r="A397" s="34"/>
      <c r="B397" s="21"/>
      <c r="C397" s="21"/>
      <c r="D397" s="21"/>
    </row>
    <row r="398">
      <c r="A398" s="34"/>
      <c r="B398" s="21"/>
      <c r="C398" s="21"/>
      <c r="D398" s="21"/>
    </row>
    <row r="399">
      <c r="A399" s="34"/>
      <c r="B399" s="21"/>
      <c r="C399" s="21"/>
      <c r="D399" s="21"/>
    </row>
    <row r="400">
      <c r="A400" s="34"/>
      <c r="B400" s="21"/>
      <c r="C400" s="21"/>
      <c r="D400" s="21"/>
    </row>
    <row r="401">
      <c r="A401" s="34"/>
      <c r="B401" s="21"/>
      <c r="C401" s="21"/>
      <c r="D401" s="21"/>
    </row>
    <row r="402">
      <c r="A402" s="34"/>
      <c r="B402" s="21"/>
      <c r="C402" s="21"/>
      <c r="D402" s="21"/>
    </row>
    <row r="403">
      <c r="A403" s="34"/>
      <c r="B403" s="21"/>
      <c r="C403" s="21"/>
      <c r="D403" s="21"/>
    </row>
    <row r="404">
      <c r="A404" s="34"/>
      <c r="B404" s="21"/>
      <c r="C404" s="21"/>
      <c r="D404" s="21"/>
    </row>
    <row r="405">
      <c r="A405" s="34"/>
      <c r="B405" s="21"/>
      <c r="C405" s="21"/>
      <c r="D405" s="21"/>
    </row>
    <row r="406">
      <c r="A406" s="34"/>
      <c r="B406" s="21"/>
      <c r="C406" s="21"/>
      <c r="D406" s="21"/>
    </row>
    <row r="407">
      <c r="A407" s="34"/>
      <c r="B407" s="21"/>
      <c r="C407" s="21"/>
      <c r="D407" s="21"/>
    </row>
    <row r="408">
      <c r="A408" s="34"/>
      <c r="B408" s="21"/>
      <c r="C408" s="21"/>
      <c r="D408" s="21"/>
    </row>
    <row r="409">
      <c r="A409" s="34"/>
      <c r="B409" s="21"/>
      <c r="C409" s="21"/>
      <c r="D409" s="21"/>
    </row>
    <row r="410">
      <c r="A410" s="34"/>
      <c r="B410" s="21"/>
      <c r="C410" s="21"/>
      <c r="D410" s="21"/>
    </row>
    <row r="411">
      <c r="A411" s="34"/>
      <c r="B411" s="21"/>
      <c r="C411" s="21"/>
      <c r="D411" s="21"/>
    </row>
    <row r="412">
      <c r="A412" s="34"/>
      <c r="B412" s="21"/>
      <c r="C412" s="21"/>
      <c r="D412" s="21"/>
    </row>
    <row r="413">
      <c r="A413" s="34"/>
      <c r="B413" s="21"/>
      <c r="C413" s="21"/>
      <c r="D413" s="21"/>
    </row>
    <row r="414">
      <c r="A414" s="34"/>
      <c r="B414" s="21"/>
      <c r="C414" s="21"/>
      <c r="D414" s="21"/>
    </row>
    <row r="415">
      <c r="A415" s="34"/>
      <c r="B415" s="21"/>
      <c r="C415" s="21"/>
      <c r="D415" s="21"/>
    </row>
    <row r="416">
      <c r="A416" s="34"/>
      <c r="B416" s="21"/>
      <c r="C416" s="21"/>
      <c r="D416" s="21"/>
    </row>
    <row r="417">
      <c r="A417" s="34"/>
      <c r="B417" s="21"/>
      <c r="C417" s="21"/>
      <c r="D417" s="21"/>
    </row>
    <row r="418">
      <c r="A418" s="34"/>
      <c r="B418" s="21"/>
      <c r="C418" s="21"/>
      <c r="D418" s="21"/>
    </row>
    <row r="419">
      <c r="A419" s="34"/>
      <c r="B419" s="21"/>
      <c r="C419" s="21"/>
      <c r="D419" s="21"/>
    </row>
    <row r="420">
      <c r="A420" s="34"/>
      <c r="B420" s="21"/>
      <c r="C420" s="21"/>
      <c r="D420" s="21"/>
    </row>
    <row r="421">
      <c r="A421" s="34"/>
      <c r="B421" s="21"/>
      <c r="C421" s="21"/>
      <c r="D421" s="21"/>
    </row>
    <row r="422">
      <c r="A422" s="34"/>
      <c r="B422" s="21"/>
      <c r="C422" s="21"/>
      <c r="D422" s="21"/>
    </row>
    <row r="423">
      <c r="A423" s="34"/>
      <c r="B423" s="21"/>
      <c r="C423" s="21"/>
      <c r="D423" s="21"/>
    </row>
    <row r="424">
      <c r="A424" s="34"/>
      <c r="B424" s="21"/>
      <c r="C424" s="21"/>
      <c r="D424" s="21"/>
    </row>
    <row r="425">
      <c r="A425" s="34"/>
      <c r="B425" s="21"/>
      <c r="C425" s="21"/>
      <c r="D425" s="21"/>
    </row>
    <row r="426">
      <c r="A426" s="34"/>
      <c r="B426" s="21"/>
      <c r="C426" s="21"/>
      <c r="D426" s="21"/>
    </row>
    <row r="427">
      <c r="A427" s="34"/>
      <c r="B427" s="21"/>
      <c r="C427" s="21"/>
      <c r="D427" s="21"/>
    </row>
    <row r="428">
      <c r="A428" s="34"/>
      <c r="B428" s="21"/>
      <c r="C428" s="21"/>
      <c r="D428" s="21"/>
    </row>
    <row r="429">
      <c r="A429" s="34"/>
      <c r="B429" s="21"/>
      <c r="C429" s="21"/>
      <c r="D429" s="21"/>
    </row>
    <row r="430">
      <c r="A430" s="34"/>
      <c r="B430" s="21"/>
      <c r="C430" s="21"/>
      <c r="D430" s="21"/>
    </row>
    <row r="431">
      <c r="A431" s="34"/>
      <c r="B431" s="21"/>
      <c r="C431" s="21"/>
      <c r="D431" s="21"/>
    </row>
    <row r="432">
      <c r="A432" s="34"/>
      <c r="B432" s="21"/>
      <c r="C432" s="21"/>
      <c r="D432" s="21"/>
    </row>
    <row r="433">
      <c r="A433" s="34"/>
      <c r="B433" s="21"/>
      <c r="C433" s="21"/>
      <c r="D433" s="21"/>
    </row>
    <row r="434">
      <c r="A434" s="34"/>
      <c r="B434" s="21"/>
      <c r="C434" s="21"/>
      <c r="D434" s="21"/>
    </row>
    <row r="435">
      <c r="A435" s="34"/>
      <c r="B435" s="21"/>
      <c r="C435" s="21"/>
      <c r="D435" s="21"/>
    </row>
    <row r="436">
      <c r="A436" s="34"/>
      <c r="B436" s="21"/>
      <c r="C436" s="21"/>
      <c r="D436" s="21"/>
    </row>
    <row r="437">
      <c r="A437" s="34"/>
      <c r="B437" s="21"/>
      <c r="C437" s="21"/>
      <c r="D437" s="21"/>
    </row>
    <row r="438">
      <c r="A438" s="34"/>
      <c r="B438" s="21"/>
      <c r="C438" s="21"/>
      <c r="D438" s="21"/>
    </row>
    <row r="439">
      <c r="A439" s="34"/>
      <c r="B439" s="21"/>
      <c r="C439" s="21"/>
      <c r="D439" s="21"/>
    </row>
    <row r="440">
      <c r="A440" s="34"/>
      <c r="B440" s="21"/>
      <c r="C440" s="21"/>
      <c r="D440" s="21"/>
    </row>
    <row r="441">
      <c r="A441" s="34"/>
      <c r="B441" s="21"/>
      <c r="C441" s="21"/>
      <c r="D441" s="21"/>
    </row>
    <row r="442">
      <c r="A442" s="34"/>
      <c r="B442" s="21"/>
      <c r="C442" s="21"/>
      <c r="D442" s="21"/>
    </row>
    <row r="443">
      <c r="A443" s="34"/>
      <c r="B443" s="21"/>
      <c r="C443" s="21"/>
      <c r="D443" s="21"/>
    </row>
    <row r="444">
      <c r="A444" s="34"/>
      <c r="B444" s="21"/>
      <c r="C444" s="21"/>
      <c r="D444" s="21"/>
    </row>
    <row r="445">
      <c r="A445" s="34"/>
      <c r="B445" s="21"/>
      <c r="C445" s="21"/>
      <c r="D445" s="21"/>
    </row>
    <row r="446">
      <c r="A446" s="34"/>
      <c r="B446" s="21"/>
      <c r="C446" s="21"/>
      <c r="D446" s="21"/>
    </row>
    <row r="447">
      <c r="A447" s="34"/>
      <c r="B447" s="21"/>
      <c r="C447" s="21"/>
      <c r="D447" s="21"/>
    </row>
    <row r="448">
      <c r="A448" s="34"/>
      <c r="B448" s="21"/>
      <c r="C448" s="21"/>
      <c r="D448" s="21"/>
    </row>
    <row r="449">
      <c r="A449" s="34"/>
      <c r="B449" s="21"/>
      <c r="C449" s="21"/>
      <c r="D449" s="21"/>
    </row>
    <row r="450">
      <c r="A450" s="34"/>
      <c r="B450" s="21"/>
      <c r="C450" s="21"/>
      <c r="D450" s="21"/>
    </row>
    <row r="451">
      <c r="A451" s="34"/>
      <c r="B451" s="21"/>
      <c r="C451" s="21"/>
      <c r="D451" s="21"/>
    </row>
    <row r="452">
      <c r="A452" s="34"/>
      <c r="B452" s="21"/>
      <c r="C452" s="21"/>
      <c r="D452" s="21"/>
    </row>
    <row r="453">
      <c r="A453" s="34"/>
      <c r="B453" s="21"/>
      <c r="C453" s="21"/>
      <c r="D453" s="21"/>
    </row>
    <row r="454">
      <c r="A454" s="34"/>
      <c r="B454" s="21"/>
      <c r="C454" s="21"/>
      <c r="D454" s="21"/>
    </row>
    <row r="455">
      <c r="A455" s="34"/>
      <c r="B455" s="21"/>
      <c r="C455" s="21"/>
      <c r="D455" s="21"/>
    </row>
    <row r="456">
      <c r="A456" s="34"/>
      <c r="B456" s="21"/>
      <c r="C456" s="21"/>
      <c r="D456" s="21"/>
    </row>
    <row r="457">
      <c r="A457" s="34"/>
      <c r="B457" s="21"/>
      <c r="C457" s="21"/>
      <c r="D457" s="21"/>
    </row>
    <row r="458">
      <c r="A458" s="34"/>
      <c r="B458" s="21"/>
      <c r="C458" s="21"/>
      <c r="D458" s="21"/>
    </row>
    <row r="459">
      <c r="A459" s="34"/>
      <c r="B459" s="21"/>
      <c r="C459" s="21"/>
      <c r="D459" s="21"/>
    </row>
    <row r="460">
      <c r="A460" s="34"/>
      <c r="B460" s="21"/>
      <c r="C460" s="21"/>
      <c r="D460" s="21"/>
    </row>
    <row r="461">
      <c r="A461" s="34"/>
      <c r="B461" s="21"/>
      <c r="C461" s="21"/>
      <c r="D461" s="21"/>
    </row>
    <row r="462">
      <c r="A462" s="34"/>
      <c r="B462" s="21"/>
      <c r="C462" s="21"/>
      <c r="D462" s="21"/>
    </row>
    <row r="463">
      <c r="A463" s="34"/>
      <c r="B463" s="21"/>
      <c r="C463" s="21"/>
      <c r="D463" s="21"/>
    </row>
    <row r="464">
      <c r="A464" s="34"/>
      <c r="B464" s="21"/>
      <c r="C464" s="21"/>
      <c r="D464" s="21"/>
    </row>
    <row r="465">
      <c r="A465" s="34"/>
      <c r="B465" s="21"/>
      <c r="C465" s="21"/>
      <c r="D465" s="21"/>
    </row>
    <row r="466">
      <c r="A466" s="34"/>
      <c r="B466" s="21"/>
      <c r="C466" s="21"/>
      <c r="D466" s="21"/>
    </row>
    <row r="467">
      <c r="A467" s="34"/>
      <c r="B467" s="21"/>
      <c r="C467" s="21"/>
      <c r="D467" s="21"/>
    </row>
    <row r="468">
      <c r="A468" s="34"/>
      <c r="B468" s="21"/>
      <c r="C468" s="21"/>
      <c r="D468" s="21"/>
    </row>
    <row r="469">
      <c r="A469" s="34"/>
      <c r="B469" s="21"/>
      <c r="C469" s="21"/>
      <c r="D469" s="21"/>
    </row>
    <row r="470">
      <c r="A470" s="34"/>
      <c r="B470" s="21"/>
      <c r="C470" s="21"/>
      <c r="D470" s="21"/>
    </row>
    <row r="471">
      <c r="A471" s="34"/>
      <c r="B471" s="21"/>
      <c r="C471" s="21"/>
      <c r="D471" s="21"/>
    </row>
    <row r="472">
      <c r="A472" s="34"/>
      <c r="B472" s="21"/>
      <c r="C472" s="21"/>
      <c r="D472" s="21"/>
    </row>
    <row r="473">
      <c r="A473" s="34"/>
      <c r="B473" s="21"/>
      <c r="C473" s="21"/>
      <c r="D473" s="21"/>
    </row>
    <row r="474">
      <c r="A474" s="34"/>
      <c r="B474" s="21"/>
      <c r="C474" s="21"/>
      <c r="D474" s="21"/>
    </row>
    <row r="475">
      <c r="A475" s="34"/>
      <c r="B475" s="21"/>
      <c r="C475" s="21"/>
      <c r="D475" s="21"/>
    </row>
    <row r="476">
      <c r="A476" s="34"/>
      <c r="B476" s="21"/>
      <c r="C476" s="21"/>
      <c r="D476" s="21"/>
    </row>
    <row r="477">
      <c r="A477" s="34"/>
      <c r="B477" s="21"/>
      <c r="C477" s="21"/>
      <c r="D477" s="21"/>
    </row>
    <row r="478">
      <c r="A478" s="34"/>
      <c r="B478" s="21"/>
      <c r="C478" s="21"/>
      <c r="D478" s="21"/>
    </row>
    <row r="479">
      <c r="A479" s="34"/>
      <c r="B479" s="21"/>
      <c r="C479" s="21"/>
      <c r="D479" s="21"/>
    </row>
    <row r="480">
      <c r="A480" s="34"/>
      <c r="B480" s="21"/>
      <c r="C480" s="21"/>
      <c r="D480" s="21"/>
    </row>
    <row r="481">
      <c r="A481" s="34"/>
      <c r="B481" s="21"/>
      <c r="C481" s="21"/>
      <c r="D481" s="21"/>
    </row>
    <row r="482">
      <c r="A482" s="34"/>
      <c r="B482" s="21"/>
      <c r="C482" s="21"/>
      <c r="D482" s="21"/>
    </row>
    <row r="483">
      <c r="A483" s="34"/>
      <c r="B483" s="21"/>
      <c r="C483" s="21"/>
      <c r="D483" s="21"/>
    </row>
    <row r="484">
      <c r="A484" s="34"/>
      <c r="B484" s="21"/>
      <c r="C484" s="21"/>
      <c r="D484" s="21"/>
    </row>
    <row r="485">
      <c r="A485" s="34"/>
      <c r="B485" s="21"/>
      <c r="C485" s="21"/>
      <c r="D485" s="21"/>
    </row>
    <row r="486">
      <c r="A486" s="34"/>
      <c r="B486" s="21"/>
      <c r="C486" s="21"/>
      <c r="D486" s="21"/>
    </row>
    <row r="487">
      <c r="A487" s="34"/>
      <c r="B487" s="21"/>
      <c r="C487" s="21"/>
      <c r="D487" s="21"/>
    </row>
    <row r="488">
      <c r="A488" s="34"/>
      <c r="B488" s="21"/>
      <c r="C488" s="21"/>
      <c r="D488" s="21"/>
    </row>
    <row r="489">
      <c r="A489" s="34"/>
      <c r="B489" s="21"/>
      <c r="C489" s="21"/>
      <c r="D489" s="21"/>
    </row>
    <row r="490">
      <c r="A490" s="34"/>
      <c r="B490" s="21"/>
      <c r="C490" s="21"/>
      <c r="D490" s="21"/>
    </row>
    <row r="491">
      <c r="A491" s="34"/>
      <c r="B491" s="21"/>
      <c r="C491" s="21"/>
      <c r="D491" s="21"/>
    </row>
    <row r="492">
      <c r="A492" s="34"/>
      <c r="B492" s="21"/>
      <c r="C492" s="21"/>
      <c r="D492" s="21"/>
    </row>
    <row r="493">
      <c r="A493" s="34"/>
      <c r="B493" s="21"/>
      <c r="C493" s="21"/>
      <c r="D493" s="21"/>
    </row>
    <row r="494">
      <c r="A494" s="34"/>
      <c r="B494" s="21"/>
      <c r="C494" s="21"/>
      <c r="D494" s="21"/>
    </row>
    <row r="495">
      <c r="A495" s="34"/>
      <c r="B495" s="21"/>
      <c r="C495" s="21"/>
      <c r="D495" s="21"/>
    </row>
    <row r="496">
      <c r="A496" s="34"/>
      <c r="B496" s="21"/>
      <c r="C496" s="21"/>
      <c r="D496" s="21"/>
    </row>
    <row r="497">
      <c r="A497" s="34"/>
      <c r="B497" s="21"/>
      <c r="C497" s="21"/>
      <c r="D497" s="21"/>
    </row>
    <row r="498">
      <c r="A498" s="34"/>
      <c r="B498" s="21"/>
      <c r="C498" s="21"/>
      <c r="D498" s="21"/>
    </row>
    <row r="499">
      <c r="A499" s="34"/>
      <c r="B499" s="21"/>
      <c r="C499" s="21"/>
      <c r="D499" s="21"/>
    </row>
    <row r="500">
      <c r="A500" s="34"/>
      <c r="B500" s="21"/>
      <c r="C500" s="21"/>
      <c r="D500" s="21"/>
    </row>
    <row r="501">
      <c r="A501" s="34"/>
      <c r="B501" s="21"/>
      <c r="C501" s="21"/>
      <c r="D501" s="21"/>
    </row>
    <row r="502">
      <c r="A502" s="34"/>
      <c r="B502" s="21"/>
      <c r="C502" s="21"/>
      <c r="D502" s="21"/>
    </row>
    <row r="503">
      <c r="A503" s="34"/>
      <c r="B503" s="21"/>
      <c r="C503" s="21"/>
      <c r="D503" s="21"/>
    </row>
    <row r="504">
      <c r="A504" s="34"/>
      <c r="B504" s="21"/>
      <c r="C504" s="21"/>
      <c r="D504" s="21"/>
    </row>
    <row r="505">
      <c r="A505" s="34"/>
      <c r="B505" s="21"/>
      <c r="C505" s="21"/>
      <c r="D505" s="21"/>
    </row>
    <row r="506">
      <c r="A506" s="34"/>
      <c r="B506" s="21"/>
      <c r="C506" s="21"/>
      <c r="D506" s="21"/>
    </row>
    <row r="507">
      <c r="A507" s="34"/>
      <c r="B507" s="21"/>
      <c r="C507" s="21"/>
      <c r="D507" s="21"/>
    </row>
    <row r="508">
      <c r="A508" s="34"/>
      <c r="B508" s="21"/>
      <c r="C508" s="21"/>
      <c r="D508" s="21"/>
    </row>
    <row r="509">
      <c r="A509" s="34"/>
      <c r="B509" s="21"/>
      <c r="C509" s="21"/>
      <c r="D509" s="21"/>
    </row>
    <row r="510">
      <c r="A510" s="34"/>
      <c r="B510" s="21"/>
      <c r="C510" s="21"/>
      <c r="D510" s="21"/>
    </row>
    <row r="511">
      <c r="A511" s="34"/>
      <c r="B511" s="21"/>
      <c r="C511" s="21"/>
      <c r="D511" s="21"/>
    </row>
    <row r="512">
      <c r="A512" s="34"/>
      <c r="B512" s="21"/>
      <c r="C512" s="21"/>
      <c r="D512" s="21"/>
    </row>
    <row r="513">
      <c r="A513" s="34"/>
      <c r="B513" s="21"/>
      <c r="C513" s="21"/>
      <c r="D513" s="21"/>
    </row>
    <row r="514">
      <c r="A514" s="34"/>
      <c r="B514" s="21"/>
      <c r="C514" s="21"/>
      <c r="D514" s="21"/>
    </row>
    <row r="515">
      <c r="A515" s="34"/>
      <c r="B515" s="21"/>
      <c r="C515" s="21"/>
      <c r="D515" s="21"/>
    </row>
    <row r="516">
      <c r="A516" s="34"/>
      <c r="B516" s="21"/>
      <c r="C516" s="21"/>
      <c r="D516" s="21"/>
    </row>
    <row r="517">
      <c r="A517" s="34"/>
      <c r="B517" s="21"/>
      <c r="C517" s="21"/>
      <c r="D517" s="21"/>
    </row>
    <row r="518">
      <c r="A518" s="34"/>
      <c r="B518" s="21"/>
      <c r="C518" s="21"/>
      <c r="D518" s="21"/>
    </row>
    <row r="519">
      <c r="A519" s="34"/>
      <c r="B519" s="21"/>
      <c r="C519" s="21"/>
      <c r="D519" s="21"/>
    </row>
    <row r="520">
      <c r="A520" s="34"/>
      <c r="B520" s="21"/>
      <c r="C520" s="21"/>
      <c r="D520" s="21"/>
    </row>
    <row r="521">
      <c r="A521" s="34"/>
      <c r="B521" s="21"/>
      <c r="C521" s="21"/>
      <c r="D521" s="21"/>
    </row>
    <row r="522">
      <c r="A522" s="34"/>
      <c r="B522" s="21"/>
      <c r="C522" s="21"/>
      <c r="D522" s="21"/>
    </row>
    <row r="523">
      <c r="A523" s="34"/>
      <c r="B523" s="21"/>
      <c r="C523" s="21"/>
      <c r="D523" s="21"/>
    </row>
    <row r="524">
      <c r="A524" s="34"/>
      <c r="B524" s="21"/>
      <c r="C524" s="21"/>
      <c r="D524" s="21"/>
    </row>
    <row r="525">
      <c r="A525" s="34"/>
      <c r="B525" s="21"/>
      <c r="C525" s="21"/>
      <c r="D525" s="21"/>
    </row>
    <row r="526">
      <c r="A526" s="34"/>
      <c r="B526" s="21"/>
      <c r="C526" s="21"/>
      <c r="D526" s="21"/>
    </row>
    <row r="527">
      <c r="A527" s="34"/>
      <c r="B527" s="21"/>
      <c r="C527" s="21"/>
      <c r="D527" s="21"/>
    </row>
    <row r="528">
      <c r="A528" s="34"/>
      <c r="B528" s="21"/>
      <c r="C528" s="21"/>
      <c r="D528" s="21"/>
    </row>
    <row r="529">
      <c r="A529" s="34"/>
      <c r="B529" s="21"/>
      <c r="C529" s="21"/>
      <c r="D529" s="21"/>
    </row>
    <row r="530">
      <c r="A530" s="34"/>
      <c r="B530" s="21"/>
      <c r="C530" s="21"/>
      <c r="D530" s="21"/>
    </row>
    <row r="531">
      <c r="A531" s="34"/>
      <c r="B531" s="21"/>
      <c r="C531" s="21"/>
      <c r="D531" s="21"/>
    </row>
    <row r="532">
      <c r="A532" s="34"/>
      <c r="B532" s="21"/>
      <c r="C532" s="21"/>
      <c r="D532" s="21"/>
    </row>
    <row r="533">
      <c r="A533" s="34"/>
      <c r="B533" s="21"/>
      <c r="C533" s="21"/>
      <c r="D533" s="21"/>
    </row>
    <row r="534">
      <c r="A534" s="34"/>
      <c r="B534" s="21"/>
      <c r="C534" s="21"/>
      <c r="D534" s="21"/>
    </row>
    <row r="535">
      <c r="A535" s="34"/>
      <c r="B535" s="21"/>
      <c r="C535" s="21"/>
      <c r="D535" s="21"/>
    </row>
    <row r="536">
      <c r="A536" s="34"/>
      <c r="B536" s="21"/>
      <c r="C536" s="21"/>
      <c r="D536" s="21"/>
    </row>
    <row r="537">
      <c r="A537" s="34"/>
      <c r="B537" s="21"/>
      <c r="C537" s="21"/>
      <c r="D537" s="21"/>
    </row>
    <row r="538">
      <c r="A538" s="34"/>
      <c r="B538" s="21"/>
      <c r="C538" s="21"/>
      <c r="D538" s="21"/>
    </row>
    <row r="539">
      <c r="A539" s="34"/>
      <c r="B539" s="21"/>
      <c r="C539" s="21"/>
      <c r="D539" s="21"/>
    </row>
    <row r="540">
      <c r="A540" s="34"/>
      <c r="B540" s="21"/>
      <c r="C540" s="21"/>
      <c r="D540" s="21"/>
    </row>
    <row r="541">
      <c r="A541" s="34"/>
      <c r="B541" s="21"/>
      <c r="C541" s="21"/>
      <c r="D541" s="21"/>
    </row>
    <row r="542">
      <c r="A542" s="34"/>
      <c r="B542" s="21"/>
      <c r="C542" s="21"/>
      <c r="D542" s="21"/>
    </row>
    <row r="543">
      <c r="A543" s="34"/>
      <c r="B543" s="21"/>
      <c r="C543" s="21"/>
      <c r="D543" s="21"/>
    </row>
    <row r="544">
      <c r="A544" s="34"/>
      <c r="B544" s="21"/>
      <c r="C544" s="21"/>
      <c r="D544" s="21"/>
    </row>
    <row r="545">
      <c r="A545" s="34"/>
      <c r="B545" s="21"/>
      <c r="C545" s="21"/>
      <c r="D545" s="21"/>
    </row>
    <row r="546">
      <c r="A546" s="34"/>
      <c r="B546" s="21"/>
      <c r="C546" s="21"/>
      <c r="D546" s="21"/>
    </row>
    <row r="547">
      <c r="A547" s="34"/>
      <c r="B547" s="21"/>
      <c r="C547" s="21"/>
      <c r="D547" s="21"/>
    </row>
    <row r="548">
      <c r="A548" s="34"/>
      <c r="B548" s="21"/>
      <c r="C548" s="21"/>
      <c r="D548" s="21"/>
    </row>
    <row r="549">
      <c r="A549" s="34"/>
      <c r="B549" s="21"/>
      <c r="C549" s="21"/>
      <c r="D549" s="21"/>
    </row>
    <row r="550">
      <c r="A550" s="34"/>
      <c r="B550" s="21"/>
      <c r="C550" s="21"/>
      <c r="D550" s="21"/>
    </row>
    <row r="551">
      <c r="A551" s="34"/>
      <c r="B551" s="21"/>
      <c r="C551" s="21"/>
      <c r="D551" s="21"/>
    </row>
    <row r="552">
      <c r="A552" s="34"/>
      <c r="B552" s="21"/>
      <c r="C552" s="21"/>
      <c r="D552" s="21"/>
    </row>
    <row r="553">
      <c r="A553" s="34"/>
      <c r="B553" s="21"/>
      <c r="C553" s="21"/>
      <c r="D553" s="21"/>
    </row>
    <row r="554">
      <c r="A554" s="34"/>
      <c r="B554" s="21"/>
      <c r="C554" s="21"/>
      <c r="D554" s="21"/>
    </row>
    <row r="555">
      <c r="A555" s="34"/>
      <c r="B555" s="21"/>
      <c r="C555" s="21"/>
      <c r="D555" s="21"/>
    </row>
    <row r="556">
      <c r="A556" s="34"/>
      <c r="B556" s="21"/>
      <c r="C556" s="21"/>
      <c r="D556" s="21"/>
    </row>
    <row r="557">
      <c r="A557" s="34"/>
      <c r="B557" s="21"/>
      <c r="C557" s="21"/>
      <c r="D557" s="21"/>
    </row>
    <row r="558">
      <c r="A558" s="34"/>
      <c r="B558" s="21"/>
      <c r="C558" s="21"/>
      <c r="D558" s="21"/>
    </row>
    <row r="559">
      <c r="A559" s="34"/>
      <c r="B559" s="21"/>
      <c r="C559" s="21"/>
      <c r="D559" s="21"/>
    </row>
    <row r="560">
      <c r="A560" s="34"/>
      <c r="B560" s="21"/>
      <c r="C560" s="21"/>
      <c r="D560" s="21"/>
    </row>
    <row r="561">
      <c r="A561" s="34"/>
      <c r="B561" s="21"/>
      <c r="C561" s="21"/>
      <c r="D561" s="21"/>
    </row>
    <row r="562">
      <c r="A562" s="34"/>
      <c r="B562" s="21"/>
      <c r="C562" s="21"/>
      <c r="D562" s="21"/>
    </row>
    <row r="563">
      <c r="A563" s="34"/>
      <c r="B563" s="21"/>
      <c r="C563" s="21"/>
      <c r="D563" s="21"/>
    </row>
    <row r="564">
      <c r="A564" s="34"/>
      <c r="B564" s="21"/>
      <c r="C564" s="21"/>
      <c r="D564" s="21"/>
    </row>
    <row r="565">
      <c r="A565" s="34"/>
      <c r="B565" s="21"/>
      <c r="C565" s="21"/>
      <c r="D565" s="21"/>
    </row>
    <row r="566">
      <c r="A566" s="34"/>
      <c r="B566" s="21"/>
      <c r="C566" s="21"/>
      <c r="D566" s="21"/>
    </row>
    <row r="567">
      <c r="A567" s="34"/>
      <c r="B567" s="21"/>
      <c r="C567" s="21"/>
      <c r="D567" s="21"/>
    </row>
    <row r="568">
      <c r="A568" s="34"/>
      <c r="B568" s="21"/>
      <c r="C568" s="21"/>
      <c r="D568" s="21"/>
    </row>
    <row r="569">
      <c r="A569" s="34"/>
      <c r="B569" s="21"/>
      <c r="C569" s="21"/>
      <c r="D569" s="21"/>
    </row>
    <row r="570">
      <c r="A570" s="34"/>
      <c r="B570" s="21"/>
      <c r="C570" s="21"/>
      <c r="D570" s="21"/>
    </row>
    <row r="571">
      <c r="A571" s="34"/>
      <c r="B571" s="21"/>
      <c r="C571" s="21"/>
      <c r="D571" s="21"/>
    </row>
    <row r="572">
      <c r="A572" s="34"/>
      <c r="B572" s="21"/>
      <c r="C572" s="21"/>
      <c r="D572" s="21"/>
    </row>
    <row r="573">
      <c r="A573" s="34"/>
      <c r="B573" s="21"/>
      <c r="C573" s="21"/>
      <c r="D573" s="21"/>
    </row>
    <row r="574">
      <c r="A574" s="34"/>
      <c r="B574" s="21"/>
      <c r="C574" s="21"/>
      <c r="D574" s="21"/>
    </row>
    <row r="575">
      <c r="A575" s="34"/>
      <c r="B575" s="21"/>
      <c r="C575" s="21"/>
      <c r="D575" s="21"/>
    </row>
    <row r="576">
      <c r="A576" s="34"/>
      <c r="B576" s="21"/>
      <c r="C576" s="21"/>
      <c r="D576" s="21"/>
    </row>
    <row r="577">
      <c r="A577" s="34"/>
      <c r="B577" s="21"/>
      <c r="C577" s="21"/>
      <c r="D577" s="21"/>
    </row>
    <row r="578">
      <c r="A578" s="34"/>
      <c r="B578" s="21"/>
      <c r="C578" s="21"/>
      <c r="D578" s="21"/>
    </row>
    <row r="579">
      <c r="A579" s="34"/>
      <c r="B579" s="21"/>
      <c r="C579" s="21"/>
      <c r="D579" s="21"/>
    </row>
    <row r="580">
      <c r="A580" s="34"/>
      <c r="B580" s="21"/>
      <c r="C580" s="21"/>
      <c r="D580" s="21"/>
    </row>
    <row r="581">
      <c r="A581" s="34"/>
      <c r="B581" s="21"/>
      <c r="C581" s="21"/>
      <c r="D581" s="21"/>
    </row>
    <row r="582">
      <c r="A582" s="34"/>
      <c r="B582" s="21"/>
      <c r="C582" s="21"/>
      <c r="D582" s="21"/>
    </row>
    <row r="583">
      <c r="A583" s="34"/>
      <c r="B583" s="21"/>
      <c r="C583" s="21"/>
      <c r="D583" s="21"/>
    </row>
    <row r="584">
      <c r="A584" s="34"/>
      <c r="B584" s="21"/>
      <c r="C584" s="21"/>
      <c r="D584" s="21"/>
    </row>
    <row r="585">
      <c r="A585" s="34"/>
      <c r="B585" s="21"/>
      <c r="C585" s="21"/>
      <c r="D585" s="21"/>
    </row>
    <row r="586">
      <c r="A586" s="34"/>
      <c r="B586" s="21"/>
      <c r="C586" s="21"/>
      <c r="D586" s="21"/>
    </row>
    <row r="587">
      <c r="A587" s="34"/>
      <c r="B587" s="21"/>
      <c r="C587" s="21"/>
      <c r="D587" s="21"/>
    </row>
    <row r="588">
      <c r="A588" s="34"/>
      <c r="B588" s="21"/>
      <c r="C588" s="21"/>
      <c r="D588" s="21"/>
    </row>
    <row r="589">
      <c r="A589" s="34"/>
      <c r="B589" s="21"/>
      <c r="C589" s="21"/>
      <c r="D589" s="21"/>
    </row>
    <row r="590">
      <c r="A590" s="34"/>
      <c r="B590" s="21"/>
      <c r="C590" s="21"/>
      <c r="D590" s="21"/>
    </row>
    <row r="591">
      <c r="A591" s="34"/>
      <c r="B591" s="21"/>
      <c r="C591" s="21"/>
      <c r="D591" s="21"/>
    </row>
    <row r="592">
      <c r="A592" s="34"/>
      <c r="B592" s="21"/>
      <c r="C592" s="21"/>
      <c r="D592" s="21"/>
    </row>
    <row r="593">
      <c r="A593" s="34"/>
      <c r="B593" s="21"/>
      <c r="C593" s="21"/>
      <c r="D593" s="21"/>
    </row>
    <row r="594">
      <c r="A594" s="34"/>
      <c r="B594" s="21"/>
      <c r="C594" s="21"/>
      <c r="D594" s="21"/>
    </row>
    <row r="595">
      <c r="A595" s="34"/>
      <c r="B595" s="21"/>
      <c r="C595" s="21"/>
      <c r="D595" s="21"/>
    </row>
    <row r="596">
      <c r="A596" s="34"/>
      <c r="B596" s="21"/>
      <c r="C596" s="21"/>
      <c r="D596" s="21"/>
    </row>
    <row r="597">
      <c r="A597" s="34"/>
      <c r="B597" s="21"/>
      <c r="C597" s="21"/>
      <c r="D597" s="21"/>
    </row>
    <row r="598">
      <c r="A598" s="34"/>
      <c r="B598" s="21"/>
      <c r="C598" s="21"/>
      <c r="D598" s="21"/>
    </row>
    <row r="599">
      <c r="A599" s="34"/>
      <c r="B599" s="21"/>
      <c r="C599" s="21"/>
      <c r="D599" s="21"/>
    </row>
    <row r="600">
      <c r="A600" s="34"/>
      <c r="B600" s="21"/>
      <c r="C600" s="21"/>
      <c r="D600" s="21"/>
    </row>
    <row r="601">
      <c r="A601" s="34"/>
      <c r="B601" s="21"/>
      <c r="C601" s="21"/>
      <c r="D601" s="21"/>
    </row>
    <row r="602">
      <c r="A602" s="34"/>
      <c r="B602" s="21"/>
      <c r="C602" s="21"/>
      <c r="D602" s="21"/>
    </row>
    <row r="603">
      <c r="A603" s="34"/>
      <c r="B603" s="21"/>
      <c r="C603" s="21"/>
      <c r="D603" s="21"/>
    </row>
    <row r="604">
      <c r="A604" s="34"/>
      <c r="B604" s="21"/>
      <c r="C604" s="21"/>
      <c r="D604" s="21"/>
    </row>
    <row r="605">
      <c r="A605" s="34"/>
      <c r="B605" s="21"/>
      <c r="C605" s="21"/>
      <c r="D605" s="21"/>
    </row>
    <row r="606">
      <c r="A606" s="34"/>
      <c r="B606" s="21"/>
      <c r="C606" s="21"/>
      <c r="D606" s="21"/>
    </row>
    <row r="607">
      <c r="A607" s="34"/>
      <c r="B607" s="21"/>
      <c r="C607" s="21"/>
      <c r="D607" s="21"/>
    </row>
    <row r="608">
      <c r="A608" s="34"/>
      <c r="B608" s="21"/>
      <c r="C608" s="21"/>
      <c r="D608" s="21"/>
    </row>
    <row r="609">
      <c r="A609" s="34"/>
      <c r="B609" s="21"/>
      <c r="C609" s="21"/>
      <c r="D609" s="21"/>
    </row>
    <row r="610">
      <c r="A610" s="34"/>
      <c r="B610" s="21"/>
      <c r="C610" s="21"/>
      <c r="D610" s="21"/>
    </row>
    <row r="611">
      <c r="A611" s="34"/>
      <c r="B611" s="21"/>
      <c r="C611" s="21"/>
      <c r="D611" s="21"/>
    </row>
    <row r="612">
      <c r="A612" s="34"/>
      <c r="B612" s="21"/>
      <c r="C612" s="21"/>
      <c r="D612" s="21"/>
    </row>
    <row r="613">
      <c r="A613" s="34"/>
      <c r="B613" s="21"/>
      <c r="C613" s="21"/>
      <c r="D613" s="21"/>
    </row>
    <row r="614">
      <c r="A614" s="34"/>
      <c r="B614" s="21"/>
      <c r="C614" s="21"/>
      <c r="D614" s="21"/>
    </row>
    <row r="615">
      <c r="A615" s="34"/>
      <c r="B615" s="21"/>
      <c r="C615" s="21"/>
      <c r="D615" s="21"/>
    </row>
    <row r="616">
      <c r="A616" s="34"/>
      <c r="B616" s="21"/>
      <c r="C616" s="21"/>
      <c r="D616" s="21"/>
    </row>
    <row r="617">
      <c r="A617" s="34"/>
      <c r="B617" s="21"/>
      <c r="C617" s="21"/>
      <c r="D617" s="21"/>
    </row>
    <row r="618">
      <c r="A618" s="34"/>
      <c r="B618" s="21"/>
      <c r="C618" s="21"/>
      <c r="D618" s="21"/>
    </row>
    <row r="619">
      <c r="A619" s="34"/>
      <c r="B619" s="21"/>
      <c r="C619" s="21"/>
      <c r="D619" s="21"/>
    </row>
    <row r="620">
      <c r="A620" s="34"/>
      <c r="B620" s="21"/>
      <c r="C620" s="21"/>
      <c r="D620" s="21"/>
    </row>
    <row r="621">
      <c r="A621" s="34"/>
      <c r="B621" s="21"/>
      <c r="C621" s="21"/>
      <c r="D621" s="21"/>
    </row>
    <row r="622">
      <c r="A622" s="34"/>
      <c r="B622" s="21"/>
      <c r="C622" s="21"/>
      <c r="D622" s="21"/>
    </row>
    <row r="623">
      <c r="A623" s="34"/>
      <c r="B623" s="21"/>
      <c r="C623" s="21"/>
      <c r="D623" s="21"/>
    </row>
    <row r="624">
      <c r="A624" s="34"/>
      <c r="B624" s="21"/>
      <c r="C624" s="21"/>
      <c r="D624" s="21"/>
    </row>
    <row r="625">
      <c r="A625" s="34"/>
      <c r="B625" s="21"/>
      <c r="C625" s="21"/>
      <c r="D625" s="21"/>
    </row>
    <row r="626">
      <c r="A626" s="34"/>
      <c r="B626" s="21"/>
      <c r="C626" s="21"/>
      <c r="D626" s="21"/>
    </row>
    <row r="627">
      <c r="A627" s="34"/>
      <c r="B627" s="21"/>
      <c r="C627" s="21"/>
      <c r="D627" s="21"/>
    </row>
    <row r="628">
      <c r="A628" s="34"/>
      <c r="B628" s="21"/>
      <c r="C628" s="21"/>
      <c r="D628" s="21"/>
    </row>
    <row r="629">
      <c r="A629" s="34"/>
      <c r="B629" s="21"/>
      <c r="C629" s="21"/>
      <c r="D629" s="21"/>
    </row>
    <row r="630">
      <c r="A630" s="34"/>
      <c r="B630" s="21"/>
      <c r="C630" s="21"/>
      <c r="D630" s="21"/>
    </row>
    <row r="631">
      <c r="A631" s="34"/>
      <c r="B631" s="21"/>
      <c r="C631" s="21"/>
      <c r="D631" s="21"/>
    </row>
    <row r="632">
      <c r="A632" s="34"/>
      <c r="B632" s="21"/>
      <c r="C632" s="21"/>
      <c r="D632" s="21"/>
    </row>
    <row r="633">
      <c r="A633" s="34"/>
      <c r="B633" s="21"/>
      <c r="C633" s="21"/>
      <c r="D633" s="21"/>
    </row>
    <row r="634">
      <c r="A634" s="34"/>
      <c r="B634" s="21"/>
      <c r="C634" s="21"/>
      <c r="D634" s="21"/>
    </row>
    <row r="635">
      <c r="A635" s="34"/>
      <c r="B635" s="21"/>
      <c r="C635" s="21"/>
      <c r="D635" s="21"/>
    </row>
    <row r="636">
      <c r="A636" s="34"/>
      <c r="B636" s="21"/>
      <c r="C636" s="21"/>
      <c r="D636" s="21"/>
    </row>
    <row r="637">
      <c r="A637" s="34"/>
      <c r="B637" s="21"/>
      <c r="C637" s="21"/>
      <c r="D637" s="21"/>
    </row>
    <row r="638">
      <c r="A638" s="34"/>
      <c r="B638" s="21"/>
      <c r="C638" s="21"/>
      <c r="D638" s="21"/>
    </row>
    <row r="639">
      <c r="A639" s="34"/>
      <c r="B639" s="21"/>
      <c r="C639" s="21"/>
      <c r="D639" s="21"/>
    </row>
    <row r="640">
      <c r="A640" s="34"/>
      <c r="B640" s="21"/>
      <c r="C640" s="21"/>
      <c r="D640" s="21"/>
    </row>
    <row r="641">
      <c r="A641" s="34"/>
      <c r="B641" s="21"/>
      <c r="C641" s="21"/>
      <c r="D641" s="21"/>
    </row>
    <row r="642">
      <c r="A642" s="34"/>
      <c r="B642" s="21"/>
      <c r="C642" s="21"/>
      <c r="D642" s="21"/>
    </row>
    <row r="643">
      <c r="A643" s="34"/>
      <c r="B643" s="21"/>
      <c r="C643" s="21"/>
      <c r="D643" s="21"/>
    </row>
    <row r="644">
      <c r="A644" s="34"/>
      <c r="B644" s="21"/>
      <c r="C644" s="21"/>
      <c r="D644" s="21"/>
    </row>
    <row r="645">
      <c r="A645" s="34"/>
      <c r="B645" s="21"/>
      <c r="C645" s="21"/>
      <c r="D645" s="21"/>
    </row>
    <row r="646">
      <c r="A646" s="34"/>
      <c r="B646" s="21"/>
      <c r="C646" s="21"/>
      <c r="D646" s="21"/>
    </row>
    <row r="647">
      <c r="A647" s="34"/>
      <c r="B647" s="21"/>
      <c r="C647" s="21"/>
      <c r="D647" s="21"/>
    </row>
    <row r="648">
      <c r="A648" s="34"/>
      <c r="B648" s="21"/>
      <c r="C648" s="21"/>
      <c r="D648" s="21"/>
    </row>
    <row r="649">
      <c r="A649" s="34"/>
      <c r="B649" s="21"/>
      <c r="C649" s="21"/>
      <c r="D649" s="21"/>
    </row>
    <row r="650">
      <c r="A650" s="34"/>
      <c r="B650" s="21"/>
      <c r="C650" s="21"/>
      <c r="D650" s="21"/>
    </row>
    <row r="651">
      <c r="A651" s="34"/>
      <c r="B651" s="21"/>
      <c r="C651" s="21"/>
      <c r="D651" s="21"/>
    </row>
    <row r="652">
      <c r="A652" s="34"/>
      <c r="B652" s="21"/>
      <c r="C652" s="21"/>
      <c r="D652" s="21"/>
    </row>
    <row r="653">
      <c r="A653" s="34"/>
      <c r="B653" s="21"/>
      <c r="C653" s="21"/>
      <c r="D653" s="21"/>
    </row>
    <row r="654">
      <c r="A654" s="34"/>
      <c r="B654" s="21"/>
      <c r="C654" s="21"/>
      <c r="D654" s="21"/>
    </row>
    <row r="655">
      <c r="A655" s="34"/>
      <c r="B655" s="21"/>
      <c r="C655" s="21"/>
      <c r="D655" s="21"/>
    </row>
    <row r="656">
      <c r="A656" s="34"/>
      <c r="B656" s="21"/>
      <c r="C656" s="21"/>
      <c r="D656" s="21"/>
    </row>
    <row r="657">
      <c r="A657" s="34"/>
      <c r="B657" s="21"/>
      <c r="C657" s="21"/>
      <c r="D657" s="21"/>
    </row>
    <row r="658">
      <c r="A658" s="34"/>
      <c r="B658" s="21"/>
      <c r="C658" s="21"/>
      <c r="D658" s="21"/>
    </row>
    <row r="659">
      <c r="A659" s="34"/>
      <c r="B659" s="21"/>
      <c r="C659" s="21"/>
      <c r="D659" s="21"/>
    </row>
    <row r="660">
      <c r="A660" s="34"/>
      <c r="B660" s="21"/>
      <c r="C660" s="21"/>
      <c r="D660" s="21"/>
    </row>
    <row r="661">
      <c r="A661" s="34"/>
      <c r="B661" s="21"/>
      <c r="C661" s="21"/>
      <c r="D661" s="21"/>
    </row>
    <row r="662">
      <c r="A662" s="34"/>
      <c r="B662" s="21"/>
      <c r="C662" s="21"/>
      <c r="D662" s="21"/>
    </row>
    <row r="663">
      <c r="A663" s="34"/>
      <c r="B663" s="21"/>
      <c r="C663" s="21"/>
      <c r="D663" s="21"/>
    </row>
    <row r="664">
      <c r="A664" s="34"/>
      <c r="B664" s="21"/>
      <c r="C664" s="21"/>
      <c r="D664" s="21"/>
    </row>
    <row r="665">
      <c r="A665" s="34"/>
      <c r="B665" s="21"/>
      <c r="C665" s="21"/>
      <c r="D665" s="21"/>
    </row>
    <row r="666">
      <c r="A666" s="34"/>
      <c r="B666" s="21"/>
      <c r="C666" s="21"/>
      <c r="D666" s="21"/>
    </row>
    <row r="667">
      <c r="A667" s="34"/>
      <c r="B667" s="21"/>
      <c r="C667" s="21"/>
      <c r="D667" s="21"/>
    </row>
    <row r="668">
      <c r="A668" s="34"/>
      <c r="B668" s="21"/>
      <c r="C668" s="21"/>
      <c r="D668" s="21"/>
    </row>
    <row r="669">
      <c r="A669" s="34"/>
      <c r="B669" s="21"/>
      <c r="C669" s="21"/>
      <c r="D669" s="21"/>
    </row>
    <row r="670">
      <c r="A670" s="34"/>
      <c r="B670" s="21"/>
      <c r="C670" s="21"/>
      <c r="D670" s="21"/>
    </row>
    <row r="671">
      <c r="A671" s="34"/>
      <c r="B671" s="21"/>
      <c r="C671" s="21"/>
      <c r="D671" s="21"/>
    </row>
    <row r="672">
      <c r="A672" s="34"/>
      <c r="B672" s="21"/>
      <c r="C672" s="21"/>
      <c r="D672" s="21"/>
    </row>
    <row r="673">
      <c r="A673" s="34"/>
      <c r="B673" s="21"/>
      <c r="C673" s="21"/>
      <c r="D673" s="21"/>
    </row>
    <row r="674">
      <c r="A674" s="34"/>
      <c r="B674" s="21"/>
      <c r="C674" s="21"/>
      <c r="D674" s="21"/>
    </row>
    <row r="675">
      <c r="A675" s="34"/>
      <c r="B675" s="21"/>
      <c r="C675" s="21"/>
      <c r="D675" s="21"/>
    </row>
    <row r="676">
      <c r="A676" s="34"/>
      <c r="B676" s="21"/>
      <c r="C676" s="21"/>
      <c r="D676" s="21"/>
    </row>
    <row r="677">
      <c r="A677" s="34"/>
      <c r="B677" s="21"/>
      <c r="C677" s="21"/>
      <c r="D677" s="21"/>
    </row>
    <row r="678">
      <c r="A678" s="34"/>
      <c r="B678" s="21"/>
      <c r="C678" s="21"/>
      <c r="D678" s="21"/>
    </row>
    <row r="679">
      <c r="A679" s="34"/>
      <c r="B679" s="21"/>
      <c r="C679" s="21"/>
      <c r="D679" s="21"/>
    </row>
    <row r="680">
      <c r="A680" s="34"/>
      <c r="B680" s="21"/>
      <c r="C680" s="21"/>
      <c r="D680" s="21"/>
    </row>
    <row r="681">
      <c r="A681" s="34"/>
      <c r="B681" s="21"/>
      <c r="C681" s="21"/>
      <c r="D681" s="21"/>
    </row>
    <row r="682">
      <c r="A682" s="34"/>
      <c r="B682" s="21"/>
      <c r="C682" s="21"/>
      <c r="D682" s="21"/>
    </row>
    <row r="683">
      <c r="A683" s="34"/>
      <c r="B683" s="21"/>
      <c r="C683" s="21"/>
      <c r="D683" s="21"/>
    </row>
    <row r="684">
      <c r="A684" s="34"/>
      <c r="B684" s="21"/>
      <c r="C684" s="21"/>
      <c r="D684" s="21"/>
    </row>
    <row r="685">
      <c r="A685" s="34"/>
      <c r="B685" s="21"/>
      <c r="C685" s="21"/>
      <c r="D685" s="21"/>
    </row>
    <row r="686">
      <c r="A686" s="34"/>
      <c r="B686" s="21"/>
      <c r="C686" s="21"/>
      <c r="D686" s="21"/>
    </row>
    <row r="687">
      <c r="A687" s="34"/>
      <c r="B687" s="21"/>
      <c r="C687" s="21"/>
      <c r="D687" s="21"/>
    </row>
    <row r="688">
      <c r="A688" s="34"/>
      <c r="B688" s="21"/>
      <c r="C688" s="21"/>
      <c r="D688" s="21"/>
    </row>
    <row r="689">
      <c r="A689" s="34"/>
      <c r="B689" s="21"/>
      <c r="C689" s="21"/>
      <c r="D689" s="21"/>
    </row>
    <row r="690">
      <c r="A690" s="34"/>
      <c r="B690" s="21"/>
      <c r="C690" s="21"/>
      <c r="D690" s="21"/>
    </row>
    <row r="691">
      <c r="A691" s="34"/>
      <c r="B691" s="21"/>
      <c r="C691" s="21"/>
      <c r="D691" s="21"/>
    </row>
    <row r="692">
      <c r="A692" s="34"/>
      <c r="B692" s="21"/>
      <c r="C692" s="21"/>
      <c r="D692" s="21"/>
    </row>
    <row r="693">
      <c r="A693" s="34"/>
      <c r="B693" s="21"/>
      <c r="C693" s="21"/>
      <c r="D693" s="21"/>
    </row>
    <row r="694">
      <c r="A694" s="34"/>
      <c r="B694" s="21"/>
      <c r="C694" s="21"/>
      <c r="D694" s="21"/>
    </row>
    <row r="695">
      <c r="A695" s="34"/>
      <c r="B695" s="21"/>
      <c r="C695" s="21"/>
      <c r="D695" s="21"/>
    </row>
    <row r="696">
      <c r="A696" s="34"/>
      <c r="B696" s="21"/>
      <c r="C696" s="21"/>
      <c r="D696" s="21"/>
    </row>
    <row r="697">
      <c r="A697" s="34"/>
      <c r="B697" s="21"/>
      <c r="C697" s="21"/>
      <c r="D697" s="21"/>
    </row>
    <row r="698">
      <c r="A698" s="34"/>
      <c r="B698" s="21"/>
      <c r="C698" s="21"/>
      <c r="D698" s="21"/>
    </row>
    <row r="699">
      <c r="A699" s="34"/>
      <c r="B699" s="21"/>
      <c r="C699" s="21"/>
      <c r="D699" s="21"/>
    </row>
    <row r="700">
      <c r="A700" s="34"/>
      <c r="B700" s="21"/>
      <c r="C700" s="21"/>
      <c r="D700" s="21"/>
    </row>
    <row r="701">
      <c r="A701" s="34"/>
      <c r="B701" s="21"/>
      <c r="C701" s="21"/>
      <c r="D701" s="21"/>
    </row>
    <row r="702">
      <c r="A702" s="34"/>
      <c r="B702" s="21"/>
      <c r="C702" s="21"/>
      <c r="D702" s="21"/>
    </row>
    <row r="703">
      <c r="A703" s="34"/>
      <c r="B703" s="21"/>
      <c r="C703" s="21"/>
      <c r="D703" s="21"/>
    </row>
    <row r="704">
      <c r="A704" s="34"/>
      <c r="B704" s="21"/>
      <c r="C704" s="21"/>
      <c r="D704" s="21"/>
    </row>
    <row r="705">
      <c r="A705" s="34"/>
      <c r="B705" s="21"/>
      <c r="C705" s="21"/>
      <c r="D705" s="21"/>
    </row>
    <row r="706">
      <c r="A706" s="34"/>
      <c r="B706" s="21"/>
      <c r="C706" s="21"/>
      <c r="D706" s="21"/>
    </row>
    <row r="707">
      <c r="A707" s="34"/>
      <c r="B707" s="21"/>
      <c r="C707" s="21"/>
      <c r="D707" s="21"/>
    </row>
    <row r="708">
      <c r="A708" s="34"/>
      <c r="B708" s="21"/>
      <c r="C708" s="21"/>
      <c r="D708" s="21"/>
    </row>
    <row r="709">
      <c r="A709" s="34"/>
      <c r="B709" s="21"/>
      <c r="C709" s="21"/>
      <c r="D709" s="21"/>
    </row>
    <row r="710">
      <c r="A710" s="34"/>
      <c r="B710" s="21"/>
      <c r="C710" s="21"/>
      <c r="D710" s="21"/>
    </row>
    <row r="711">
      <c r="A711" s="34"/>
      <c r="B711" s="21"/>
      <c r="C711" s="21"/>
      <c r="D711" s="21"/>
    </row>
    <row r="712">
      <c r="A712" s="34"/>
      <c r="B712" s="21"/>
      <c r="C712" s="21"/>
      <c r="D712" s="21"/>
    </row>
    <row r="713">
      <c r="A713" s="34"/>
      <c r="B713" s="21"/>
      <c r="C713" s="21"/>
      <c r="D713" s="21"/>
    </row>
    <row r="714">
      <c r="A714" s="34"/>
      <c r="B714" s="21"/>
      <c r="C714" s="21"/>
      <c r="D714" s="21"/>
    </row>
    <row r="715">
      <c r="A715" s="34"/>
      <c r="B715" s="21"/>
      <c r="C715" s="21"/>
      <c r="D715" s="21"/>
    </row>
    <row r="716">
      <c r="A716" s="34"/>
      <c r="B716" s="21"/>
      <c r="C716" s="21"/>
      <c r="D716" s="21"/>
    </row>
    <row r="717">
      <c r="A717" s="34"/>
      <c r="B717" s="21"/>
      <c r="C717" s="21"/>
      <c r="D717" s="21"/>
    </row>
    <row r="718">
      <c r="A718" s="34"/>
      <c r="B718" s="21"/>
      <c r="C718" s="21"/>
      <c r="D718" s="21"/>
    </row>
    <row r="719">
      <c r="A719" s="34"/>
      <c r="B719" s="21"/>
      <c r="C719" s="21"/>
      <c r="D719" s="21"/>
    </row>
    <row r="720">
      <c r="A720" s="34"/>
      <c r="B720" s="21"/>
      <c r="C720" s="21"/>
      <c r="D720" s="21"/>
    </row>
    <row r="721">
      <c r="A721" s="34"/>
      <c r="B721" s="21"/>
      <c r="C721" s="21"/>
      <c r="D721" s="21"/>
    </row>
    <row r="722">
      <c r="A722" s="34"/>
      <c r="B722" s="21"/>
      <c r="C722" s="21"/>
      <c r="D722" s="21"/>
    </row>
    <row r="723">
      <c r="A723" s="34"/>
      <c r="B723" s="21"/>
      <c r="C723" s="21"/>
      <c r="D723" s="21"/>
    </row>
    <row r="724">
      <c r="A724" s="34"/>
      <c r="B724" s="21"/>
      <c r="C724" s="21"/>
      <c r="D724" s="21"/>
    </row>
    <row r="725">
      <c r="A725" s="34"/>
      <c r="B725" s="21"/>
      <c r="C725" s="21"/>
      <c r="D725" s="21"/>
    </row>
    <row r="726">
      <c r="A726" s="34"/>
      <c r="B726" s="21"/>
      <c r="C726" s="21"/>
      <c r="D726" s="21"/>
    </row>
    <row r="727">
      <c r="A727" s="34"/>
      <c r="B727" s="21"/>
      <c r="C727" s="21"/>
      <c r="D727" s="21"/>
    </row>
    <row r="728">
      <c r="A728" s="34"/>
      <c r="B728" s="21"/>
      <c r="C728" s="21"/>
      <c r="D728" s="21"/>
    </row>
    <row r="729">
      <c r="A729" s="34"/>
      <c r="B729" s="21"/>
      <c r="C729" s="21"/>
      <c r="D729" s="21"/>
    </row>
    <row r="730">
      <c r="A730" s="34"/>
      <c r="B730" s="21"/>
      <c r="C730" s="21"/>
      <c r="D730" s="21"/>
    </row>
    <row r="731">
      <c r="A731" s="34"/>
      <c r="B731" s="21"/>
      <c r="C731" s="21"/>
      <c r="D731" s="21"/>
    </row>
    <row r="732">
      <c r="A732" s="34"/>
      <c r="B732" s="21"/>
      <c r="C732" s="21"/>
      <c r="D732" s="21"/>
    </row>
    <row r="733">
      <c r="A733" s="34"/>
      <c r="B733" s="21"/>
      <c r="C733" s="21"/>
      <c r="D733" s="21"/>
    </row>
    <row r="734">
      <c r="A734" s="34"/>
      <c r="B734" s="21"/>
      <c r="C734" s="21"/>
      <c r="D734" s="21"/>
    </row>
    <row r="735">
      <c r="A735" s="34"/>
      <c r="B735" s="21"/>
      <c r="C735" s="21"/>
      <c r="D735" s="21"/>
    </row>
    <row r="736">
      <c r="A736" s="34"/>
      <c r="B736" s="21"/>
      <c r="C736" s="21"/>
      <c r="D736" s="21"/>
    </row>
    <row r="737">
      <c r="A737" s="34"/>
      <c r="B737" s="21"/>
      <c r="C737" s="21"/>
      <c r="D737" s="21"/>
    </row>
    <row r="738">
      <c r="A738" s="34"/>
      <c r="B738" s="21"/>
      <c r="C738" s="21"/>
      <c r="D738" s="21"/>
    </row>
    <row r="739">
      <c r="A739" s="34"/>
      <c r="B739" s="21"/>
      <c r="C739" s="21"/>
      <c r="D739" s="21"/>
    </row>
    <row r="740">
      <c r="A740" s="34"/>
      <c r="B740" s="21"/>
      <c r="C740" s="21"/>
      <c r="D740" s="21"/>
    </row>
    <row r="741">
      <c r="A741" s="34"/>
      <c r="B741" s="21"/>
      <c r="C741" s="21"/>
      <c r="D741" s="21"/>
    </row>
    <row r="742">
      <c r="A742" s="34"/>
      <c r="B742" s="21"/>
      <c r="C742" s="21"/>
      <c r="D742" s="21"/>
    </row>
    <row r="743">
      <c r="A743" s="34"/>
      <c r="B743" s="21"/>
      <c r="C743" s="21"/>
      <c r="D743" s="21"/>
    </row>
    <row r="744">
      <c r="A744" s="34"/>
      <c r="B744" s="21"/>
      <c r="C744" s="21"/>
      <c r="D744" s="21"/>
    </row>
    <row r="745">
      <c r="A745" s="34"/>
      <c r="B745" s="21"/>
      <c r="C745" s="21"/>
      <c r="D745" s="21"/>
    </row>
    <row r="746">
      <c r="A746" s="34"/>
      <c r="B746" s="21"/>
      <c r="C746" s="21"/>
      <c r="D746" s="21"/>
    </row>
    <row r="747">
      <c r="A747" s="34"/>
      <c r="B747" s="21"/>
      <c r="C747" s="21"/>
      <c r="D747" s="21"/>
    </row>
    <row r="748">
      <c r="A748" s="34"/>
      <c r="B748" s="21"/>
      <c r="C748" s="21"/>
      <c r="D748" s="21"/>
    </row>
    <row r="749">
      <c r="A749" s="34"/>
      <c r="B749" s="21"/>
      <c r="C749" s="21"/>
      <c r="D749" s="21"/>
    </row>
    <row r="750">
      <c r="A750" s="34"/>
      <c r="B750" s="21"/>
      <c r="C750" s="21"/>
      <c r="D750" s="21"/>
    </row>
    <row r="751">
      <c r="A751" s="34"/>
      <c r="B751" s="21"/>
      <c r="C751" s="21"/>
      <c r="D751" s="21"/>
    </row>
    <row r="752">
      <c r="A752" s="34"/>
      <c r="B752" s="21"/>
      <c r="C752" s="21"/>
      <c r="D752" s="21"/>
    </row>
    <row r="753">
      <c r="A753" s="34"/>
      <c r="B753" s="21"/>
      <c r="C753" s="21"/>
      <c r="D753" s="21"/>
    </row>
    <row r="754">
      <c r="A754" s="34"/>
      <c r="B754" s="21"/>
      <c r="C754" s="21"/>
      <c r="D754" s="21"/>
    </row>
    <row r="755">
      <c r="A755" s="34"/>
      <c r="B755" s="21"/>
      <c r="C755" s="21"/>
      <c r="D755" s="21"/>
    </row>
    <row r="756">
      <c r="A756" s="34"/>
      <c r="B756" s="21"/>
      <c r="C756" s="21"/>
      <c r="D756" s="21"/>
    </row>
    <row r="757">
      <c r="A757" s="34"/>
      <c r="B757" s="21"/>
      <c r="C757" s="21"/>
      <c r="D757" s="21"/>
    </row>
    <row r="758">
      <c r="A758" s="34"/>
      <c r="B758" s="21"/>
      <c r="C758" s="21"/>
      <c r="D758" s="21"/>
    </row>
    <row r="759">
      <c r="A759" s="34"/>
      <c r="B759" s="21"/>
      <c r="C759" s="21"/>
      <c r="D759" s="21"/>
    </row>
    <row r="760">
      <c r="A760" s="34"/>
      <c r="B760" s="21"/>
      <c r="C760" s="21"/>
      <c r="D760" s="21"/>
    </row>
    <row r="761">
      <c r="A761" s="34"/>
      <c r="B761" s="21"/>
      <c r="C761" s="21"/>
      <c r="D761" s="21"/>
    </row>
    <row r="762">
      <c r="A762" s="34"/>
      <c r="B762" s="21"/>
      <c r="C762" s="21"/>
      <c r="D762" s="21"/>
    </row>
    <row r="763">
      <c r="A763" s="34"/>
      <c r="B763" s="21"/>
      <c r="C763" s="21"/>
      <c r="D763" s="21"/>
    </row>
    <row r="764">
      <c r="A764" s="34"/>
      <c r="B764" s="21"/>
      <c r="C764" s="21"/>
      <c r="D764" s="21"/>
    </row>
    <row r="765">
      <c r="A765" s="34"/>
      <c r="B765" s="21"/>
      <c r="C765" s="21"/>
      <c r="D765" s="21"/>
    </row>
    <row r="766">
      <c r="A766" s="34"/>
      <c r="B766" s="21"/>
      <c r="C766" s="21"/>
      <c r="D766" s="21"/>
    </row>
    <row r="767">
      <c r="A767" s="34"/>
      <c r="B767" s="21"/>
      <c r="C767" s="21"/>
      <c r="D767" s="21"/>
    </row>
    <row r="768">
      <c r="A768" s="34"/>
      <c r="B768" s="21"/>
      <c r="C768" s="21"/>
      <c r="D768" s="21"/>
    </row>
    <row r="769">
      <c r="A769" s="34"/>
      <c r="B769" s="21"/>
      <c r="C769" s="21"/>
      <c r="D769" s="21"/>
    </row>
    <row r="770">
      <c r="A770" s="34"/>
      <c r="B770" s="21"/>
      <c r="C770" s="21"/>
      <c r="D770" s="21"/>
    </row>
    <row r="771">
      <c r="A771" s="34"/>
      <c r="B771" s="21"/>
      <c r="C771" s="21"/>
      <c r="D771" s="21"/>
    </row>
    <row r="772">
      <c r="A772" s="34"/>
      <c r="B772" s="21"/>
      <c r="C772" s="21"/>
      <c r="D772" s="21"/>
    </row>
    <row r="773">
      <c r="A773" s="34"/>
      <c r="B773" s="21"/>
      <c r="C773" s="21"/>
      <c r="D773" s="21"/>
    </row>
    <row r="774">
      <c r="A774" s="34"/>
      <c r="B774" s="21"/>
      <c r="C774" s="21"/>
      <c r="D774" s="21"/>
    </row>
    <row r="775">
      <c r="A775" s="34"/>
      <c r="B775" s="21"/>
      <c r="C775" s="21"/>
      <c r="D775" s="21"/>
    </row>
    <row r="776">
      <c r="A776" s="34"/>
      <c r="B776" s="21"/>
      <c r="C776" s="21"/>
      <c r="D776" s="21"/>
    </row>
    <row r="777">
      <c r="A777" s="34"/>
      <c r="B777" s="21"/>
      <c r="C777" s="21"/>
      <c r="D777" s="21"/>
    </row>
    <row r="778">
      <c r="A778" s="34"/>
      <c r="B778" s="21"/>
      <c r="C778" s="21"/>
      <c r="D778" s="21"/>
    </row>
    <row r="779">
      <c r="A779" s="34"/>
      <c r="B779" s="21"/>
      <c r="C779" s="21"/>
      <c r="D779" s="21"/>
    </row>
    <row r="780">
      <c r="A780" s="34"/>
      <c r="B780" s="21"/>
      <c r="C780" s="21"/>
      <c r="D780" s="21"/>
    </row>
    <row r="781">
      <c r="A781" s="34"/>
      <c r="B781" s="21"/>
      <c r="C781" s="21"/>
      <c r="D781" s="21"/>
    </row>
    <row r="782">
      <c r="A782" s="34"/>
      <c r="B782" s="21"/>
      <c r="C782" s="21"/>
      <c r="D782" s="21"/>
    </row>
    <row r="783">
      <c r="A783" s="34"/>
      <c r="B783" s="21"/>
      <c r="C783" s="21"/>
      <c r="D783" s="21"/>
    </row>
    <row r="784">
      <c r="A784" s="34"/>
      <c r="B784" s="21"/>
      <c r="C784" s="21"/>
      <c r="D784" s="21"/>
    </row>
    <row r="785">
      <c r="A785" s="34"/>
      <c r="B785" s="21"/>
      <c r="C785" s="21"/>
      <c r="D785" s="21"/>
    </row>
    <row r="786">
      <c r="A786" s="34"/>
      <c r="B786" s="21"/>
      <c r="C786" s="21"/>
      <c r="D786" s="21"/>
    </row>
    <row r="787">
      <c r="A787" s="34"/>
      <c r="B787" s="21"/>
      <c r="C787" s="21"/>
      <c r="D787" s="21"/>
    </row>
    <row r="788">
      <c r="A788" s="34"/>
      <c r="B788" s="21"/>
      <c r="C788" s="21"/>
      <c r="D788" s="21"/>
    </row>
    <row r="789">
      <c r="A789" s="34"/>
      <c r="B789" s="21"/>
      <c r="C789" s="21"/>
      <c r="D789" s="21"/>
    </row>
    <row r="790">
      <c r="A790" s="34"/>
      <c r="B790" s="21"/>
      <c r="C790" s="21"/>
      <c r="D790" s="21"/>
    </row>
    <row r="791">
      <c r="A791" s="34"/>
      <c r="B791" s="21"/>
      <c r="C791" s="21"/>
      <c r="D791" s="21"/>
    </row>
    <row r="792">
      <c r="A792" s="34"/>
      <c r="B792" s="21"/>
      <c r="C792" s="21"/>
      <c r="D792" s="21"/>
    </row>
    <row r="793">
      <c r="A793" s="34"/>
      <c r="B793" s="21"/>
      <c r="C793" s="21"/>
      <c r="D793" s="21"/>
    </row>
    <row r="794">
      <c r="A794" s="34"/>
      <c r="B794" s="21"/>
      <c r="C794" s="21"/>
      <c r="D794" s="21"/>
    </row>
    <row r="795">
      <c r="A795" s="34"/>
      <c r="B795" s="21"/>
      <c r="C795" s="21"/>
      <c r="D795" s="21"/>
    </row>
    <row r="796">
      <c r="A796" s="34"/>
      <c r="B796" s="21"/>
      <c r="C796" s="21"/>
      <c r="D796" s="21"/>
    </row>
    <row r="797">
      <c r="A797" s="34"/>
      <c r="B797" s="21"/>
      <c r="C797" s="21"/>
      <c r="D797" s="21"/>
    </row>
    <row r="798">
      <c r="A798" s="34"/>
      <c r="B798" s="21"/>
      <c r="C798" s="21"/>
      <c r="D798" s="21"/>
    </row>
    <row r="799">
      <c r="A799" s="34"/>
      <c r="B799" s="21"/>
      <c r="C799" s="21"/>
      <c r="D799" s="21"/>
    </row>
    <row r="800">
      <c r="A800" s="34"/>
      <c r="B800" s="21"/>
      <c r="C800" s="21"/>
      <c r="D800" s="21"/>
    </row>
    <row r="801">
      <c r="A801" s="34"/>
      <c r="B801" s="21"/>
      <c r="C801" s="21"/>
      <c r="D801" s="21"/>
    </row>
    <row r="802">
      <c r="A802" s="34"/>
      <c r="B802" s="21"/>
      <c r="C802" s="21"/>
      <c r="D802" s="21"/>
    </row>
    <row r="803">
      <c r="A803" s="34"/>
      <c r="B803" s="21"/>
      <c r="C803" s="21"/>
      <c r="D803" s="21"/>
    </row>
    <row r="804">
      <c r="A804" s="34"/>
      <c r="B804" s="21"/>
      <c r="C804" s="21"/>
      <c r="D804" s="21"/>
    </row>
    <row r="805">
      <c r="A805" s="34"/>
      <c r="B805" s="21"/>
      <c r="C805" s="21"/>
      <c r="D805" s="21"/>
    </row>
    <row r="806">
      <c r="A806" s="34"/>
      <c r="B806" s="21"/>
      <c r="C806" s="21"/>
      <c r="D806" s="21"/>
    </row>
    <row r="807">
      <c r="A807" s="34"/>
      <c r="B807" s="21"/>
      <c r="C807" s="21"/>
      <c r="D807" s="21"/>
    </row>
    <row r="808">
      <c r="A808" s="34"/>
      <c r="B808" s="21"/>
      <c r="C808" s="21"/>
      <c r="D808" s="21"/>
    </row>
    <row r="809">
      <c r="A809" s="34"/>
      <c r="B809" s="21"/>
      <c r="C809" s="21"/>
      <c r="D809" s="21"/>
    </row>
    <row r="810">
      <c r="A810" s="34"/>
      <c r="B810" s="21"/>
      <c r="C810" s="21"/>
      <c r="D810" s="21"/>
    </row>
    <row r="811">
      <c r="A811" s="34"/>
      <c r="B811" s="21"/>
      <c r="C811" s="21"/>
      <c r="D811" s="21"/>
    </row>
    <row r="812">
      <c r="A812" s="34"/>
      <c r="B812" s="21"/>
      <c r="C812" s="21"/>
      <c r="D812" s="21"/>
    </row>
    <row r="813">
      <c r="A813" s="34"/>
      <c r="B813" s="21"/>
      <c r="C813" s="21"/>
      <c r="D813" s="21"/>
    </row>
    <row r="814">
      <c r="A814" s="34"/>
      <c r="B814" s="21"/>
      <c r="C814" s="21"/>
      <c r="D814" s="21"/>
    </row>
    <row r="815">
      <c r="A815" s="34"/>
      <c r="B815" s="21"/>
      <c r="C815" s="21"/>
      <c r="D815" s="21"/>
    </row>
    <row r="816">
      <c r="A816" s="34"/>
      <c r="B816" s="21"/>
      <c r="C816" s="21"/>
      <c r="D816" s="21"/>
    </row>
    <row r="817">
      <c r="A817" s="34"/>
      <c r="B817" s="21"/>
      <c r="C817" s="21"/>
      <c r="D817" s="21"/>
    </row>
    <row r="818">
      <c r="A818" s="34"/>
      <c r="B818" s="21"/>
      <c r="C818" s="21"/>
      <c r="D818" s="21"/>
    </row>
    <row r="819">
      <c r="A819" s="34"/>
      <c r="B819" s="21"/>
      <c r="C819" s="21"/>
      <c r="D819" s="21"/>
    </row>
    <row r="820">
      <c r="A820" s="34"/>
      <c r="B820" s="21"/>
      <c r="C820" s="21"/>
      <c r="D820" s="21"/>
    </row>
    <row r="821">
      <c r="A821" s="34"/>
      <c r="B821" s="21"/>
      <c r="C821" s="21"/>
      <c r="D821" s="21"/>
    </row>
    <row r="822">
      <c r="A822" s="34"/>
      <c r="B822" s="21"/>
      <c r="C822" s="21"/>
      <c r="D822" s="21"/>
    </row>
    <row r="823">
      <c r="A823" s="34"/>
      <c r="B823" s="21"/>
      <c r="C823" s="21"/>
      <c r="D823" s="21"/>
    </row>
    <row r="824">
      <c r="A824" s="34"/>
      <c r="B824" s="21"/>
      <c r="C824" s="21"/>
      <c r="D824" s="21"/>
    </row>
    <row r="825">
      <c r="A825" s="34"/>
      <c r="B825" s="21"/>
      <c r="C825" s="21"/>
      <c r="D825" s="21"/>
    </row>
    <row r="826">
      <c r="A826" s="34"/>
      <c r="B826" s="21"/>
      <c r="C826" s="21"/>
      <c r="D826" s="21"/>
    </row>
    <row r="827">
      <c r="A827" s="34"/>
      <c r="B827" s="21"/>
      <c r="C827" s="21"/>
      <c r="D827" s="21"/>
    </row>
    <row r="828">
      <c r="A828" s="34"/>
      <c r="B828" s="21"/>
      <c r="C828" s="21"/>
      <c r="D828" s="21"/>
    </row>
    <row r="829">
      <c r="A829" s="34"/>
      <c r="B829" s="21"/>
      <c r="C829" s="21"/>
      <c r="D829" s="21"/>
    </row>
    <row r="830">
      <c r="A830" s="34"/>
      <c r="B830" s="21"/>
      <c r="C830" s="21"/>
      <c r="D830" s="21"/>
    </row>
    <row r="831">
      <c r="A831" s="34"/>
      <c r="B831" s="21"/>
      <c r="C831" s="21"/>
      <c r="D831" s="21"/>
    </row>
    <row r="832">
      <c r="A832" s="34"/>
      <c r="B832" s="21"/>
      <c r="C832" s="21"/>
      <c r="D832" s="21"/>
    </row>
    <row r="833">
      <c r="A833" s="34"/>
      <c r="B833" s="21"/>
      <c r="C833" s="21"/>
      <c r="D833" s="21"/>
    </row>
    <row r="834">
      <c r="A834" s="34"/>
      <c r="B834" s="21"/>
      <c r="C834" s="21"/>
      <c r="D834" s="21"/>
    </row>
    <row r="835">
      <c r="A835" s="34"/>
      <c r="B835" s="21"/>
      <c r="C835" s="21"/>
      <c r="D835" s="21"/>
    </row>
    <row r="836">
      <c r="A836" s="34"/>
      <c r="B836" s="21"/>
      <c r="C836" s="21"/>
      <c r="D836" s="21"/>
    </row>
    <row r="837">
      <c r="A837" s="34"/>
      <c r="B837" s="21"/>
      <c r="C837" s="21"/>
      <c r="D837" s="21"/>
    </row>
    <row r="838">
      <c r="A838" s="34"/>
      <c r="B838" s="21"/>
      <c r="C838" s="21"/>
      <c r="D838" s="21"/>
    </row>
    <row r="839">
      <c r="A839" s="34"/>
      <c r="B839" s="21"/>
      <c r="C839" s="21"/>
      <c r="D839" s="21"/>
    </row>
    <row r="840">
      <c r="A840" s="34"/>
      <c r="B840" s="21"/>
      <c r="C840" s="21"/>
      <c r="D840" s="21"/>
    </row>
    <row r="841">
      <c r="A841" s="34"/>
      <c r="B841" s="21"/>
      <c r="C841" s="21"/>
      <c r="D841" s="21"/>
    </row>
    <row r="842">
      <c r="A842" s="34"/>
      <c r="B842" s="21"/>
      <c r="C842" s="21"/>
      <c r="D842" s="21"/>
    </row>
    <row r="843">
      <c r="A843" s="34"/>
      <c r="B843" s="21"/>
      <c r="C843" s="21"/>
      <c r="D843" s="21"/>
    </row>
    <row r="844">
      <c r="A844" s="34"/>
      <c r="B844" s="21"/>
      <c r="C844" s="21"/>
      <c r="D844" s="21"/>
    </row>
    <row r="845">
      <c r="A845" s="34"/>
      <c r="B845" s="21"/>
      <c r="C845" s="21"/>
      <c r="D845" s="21"/>
    </row>
    <row r="846">
      <c r="A846" s="34"/>
      <c r="B846" s="21"/>
      <c r="C846" s="21"/>
      <c r="D846" s="21"/>
    </row>
    <row r="847">
      <c r="A847" s="34"/>
      <c r="B847" s="21"/>
      <c r="C847" s="21"/>
      <c r="D847" s="21"/>
    </row>
    <row r="848">
      <c r="A848" s="34"/>
      <c r="B848" s="21"/>
      <c r="C848" s="21"/>
      <c r="D848" s="21"/>
    </row>
    <row r="849">
      <c r="A849" s="34"/>
      <c r="B849" s="21"/>
      <c r="C849" s="21"/>
      <c r="D849" s="21"/>
    </row>
    <row r="850">
      <c r="A850" s="34"/>
      <c r="B850" s="21"/>
      <c r="C850" s="21"/>
      <c r="D850" s="21"/>
    </row>
    <row r="851">
      <c r="A851" s="34"/>
      <c r="B851" s="21"/>
      <c r="C851" s="21"/>
      <c r="D851" s="21"/>
    </row>
    <row r="852">
      <c r="A852" s="34"/>
      <c r="B852" s="21"/>
      <c r="C852" s="21"/>
      <c r="D852" s="21"/>
    </row>
    <row r="853">
      <c r="A853" s="34"/>
      <c r="B853" s="21"/>
      <c r="C853" s="21"/>
      <c r="D853" s="21"/>
    </row>
    <row r="854">
      <c r="A854" s="34"/>
      <c r="B854" s="21"/>
      <c r="C854" s="21"/>
      <c r="D854" s="21"/>
    </row>
    <row r="855">
      <c r="A855" s="34"/>
      <c r="B855" s="21"/>
      <c r="C855" s="21"/>
      <c r="D855" s="21"/>
    </row>
    <row r="856">
      <c r="A856" s="34"/>
      <c r="B856" s="21"/>
      <c r="C856" s="21"/>
      <c r="D856" s="21"/>
    </row>
    <row r="857">
      <c r="A857" s="34"/>
      <c r="B857" s="21"/>
      <c r="C857" s="21"/>
      <c r="D857" s="21"/>
    </row>
    <row r="858">
      <c r="A858" s="34"/>
      <c r="B858" s="21"/>
      <c r="C858" s="21"/>
      <c r="D858" s="21"/>
    </row>
    <row r="859">
      <c r="A859" s="34"/>
      <c r="B859" s="21"/>
      <c r="C859" s="21"/>
      <c r="D859" s="21"/>
    </row>
    <row r="860">
      <c r="A860" s="34"/>
      <c r="B860" s="21"/>
      <c r="C860" s="21"/>
      <c r="D860" s="21"/>
    </row>
    <row r="861">
      <c r="A861" s="34"/>
      <c r="B861" s="21"/>
      <c r="C861" s="21"/>
      <c r="D861" s="21"/>
    </row>
    <row r="862">
      <c r="A862" s="34"/>
      <c r="B862" s="21"/>
      <c r="C862" s="21"/>
      <c r="D862" s="21"/>
    </row>
    <row r="863">
      <c r="A863" s="34"/>
      <c r="B863" s="21"/>
      <c r="C863" s="21"/>
      <c r="D863" s="21"/>
    </row>
    <row r="864">
      <c r="A864" s="34"/>
      <c r="B864" s="21"/>
      <c r="C864" s="21"/>
      <c r="D864" s="21"/>
    </row>
    <row r="865">
      <c r="A865" s="34"/>
      <c r="B865" s="21"/>
      <c r="C865" s="21"/>
      <c r="D865" s="21"/>
    </row>
    <row r="866">
      <c r="A866" s="34"/>
      <c r="B866" s="21"/>
      <c r="C866" s="21"/>
      <c r="D866" s="21"/>
    </row>
    <row r="867">
      <c r="A867" s="34"/>
      <c r="B867" s="21"/>
      <c r="C867" s="21"/>
      <c r="D867" s="21"/>
    </row>
    <row r="868">
      <c r="A868" s="34"/>
      <c r="B868" s="21"/>
      <c r="C868" s="21"/>
      <c r="D868" s="21"/>
    </row>
    <row r="869">
      <c r="A869" s="34"/>
      <c r="B869" s="21"/>
      <c r="C869" s="21"/>
      <c r="D869" s="21"/>
    </row>
    <row r="870">
      <c r="A870" s="34"/>
      <c r="B870" s="21"/>
      <c r="C870" s="21"/>
      <c r="D870" s="21"/>
    </row>
    <row r="871">
      <c r="A871" s="34"/>
      <c r="B871" s="21"/>
      <c r="C871" s="21"/>
      <c r="D871" s="21"/>
    </row>
    <row r="872">
      <c r="A872" s="34"/>
      <c r="B872" s="21"/>
      <c r="C872" s="21"/>
      <c r="D872" s="21"/>
    </row>
    <row r="873">
      <c r="A873" s="34"/>
      <c r="B873" s="21"/>
      <c r="C873" s="21"/>
      <c r="D873" s="21"/>
    </row>
    <row r="874">
      <c r="A874" s="34"/>
      <c r="B874" s="21"/>
      <c r="C874" s="21"/>
      <c r="D874" s="21"/>
    </row>
    <row r="875">
      <c r="A875" s="34"/>
      <c r="B875" s="21"/>
      <c r="C875" s="21"/>
      <c r="D875" s="21"/>
    </row>
    <row r="876">
      <c r="A876" s="34"/>
      <c r="B876" s="21"/>
      <c r="C876" s="21"/>
      <c r="D876" s="21"/>
    </row>
    <row r="877">
      <c r="A877" s="34"/>
      <c r="B877" s="21"/>
      <c r="C877" s="21"/>
      <c r="D877" s="21"/>
    </row>
    <row r="878">
      <c r="A878" s="34"/>
      <c r="B878" s="21"/>
      <c r="C878" s="21"/>
      <c r="D878" s="21"/>
    </row>
    <row r="879">
      <c r="A879" s="34"/>
      <c r="B879" s="21"/>
      <c r="C879" s="21"/>
      <c r="D879" s="21"/>
    </row>
    <row r="880">
      <c r="A880" s="34"/>
      <c r="B880" s="21"/>
      <c r="C880" s="21"/>
      <c r="D880" s="21"/>
    </row>
    <row r="881">
      <c r="A881" s="34"/>
      <c r="B881" s="21"/>
      <c r="C881" s="21"/>
      <c r="D881" s="21"/>
    </row>
    <row r="882">
      <c r="A882" s="34"/>
      <c r="B882" s="21"/>
      <c r="C882" s="21"/>
      <c r="D882" s="21"/>
    </row>
    <row r="883">
      <c r="A883" s="34"/>
      <c r="B883" s="21"/>
      <c r="C883" s="21"/>
      <c r="D883" s="21"/>
    </row>
    <row r="884">
      <c r="A884" s="34"/>
      <c r="B884" s="21"/>
      <c r="C884" s="21"/>
      <c r="D884" s="21"/>
    </row>
    <row r="885">
      <c r="A885" s="34"/>
      <c r="B885" s="21"/>
      <c r="C885" s="21"/>
      <c r="D885" s="21"/>
    </row>
    <row r="886">
      <c r="A886" s="34"/>
      <c r="B886" s="21"/>
      <c r="C886" s="21"/>
      <c r="D886" s="21"/>
    </row>
    <row r="887">
      <c r="A887" s="34"/>
      <c r="B887" s="21"/>
      <c r="C887" s="21"/>
      <c r="D887" s="21"/>
    </row>
    <row r="888">
      <c r="A888" s="34"/>
      <c r="B888" s="21"/>
      <c r="C888" s="21"/>
      <c r="D888" s="21"/>
    </row>
    <row r="889">
      <c r="A889" s="34"/>
      <c r="B889" s="21"/>
      <c r="C889" s="21"/>
      <c r="D889" s="21"/>
    </row>
    <row r="890">
      <c r="A890" s="34"/>
      <c r="B890" s="21"/>
      <c r="C890" s="21"/>
      <c r="D890" s="21"/>
    </row>
    <row r="891">
      <c r="A891" s="34"/>
      <c r="B891" s="21"/>
      <c r="C891" s="21"/>
      <c r="D891" s="21"/>
    </row>
    <row r="892">
      <c r="A892" s="34"/>
      <c r="B892" s="21"/>
      <c r="C892" s="21"/>
      <c r="D892" s="21"/>
    </row>
    <row r="893">
      <c r="A893" s="34"/>
      <c r="B893" s="21"/>
      <c r="C893" s="21"/>
      <c r="D893" s="21"/>
    </row>
    <row r="894">
      <c r="A894" s="34"/>
      <c r="B894" s="21"/>
      <c r="C894" s="21"/>
      <c r="D894" s="21"/>
    </row>
    <row r="895">
      <c r="A895" s="34"/>
      <c r="B895" s="21"/>
      <c r="C895" s="21"/>
      <c r="D895" s="21"/>
    </row>
    <row r="896">
      <c r="A896" s="34"/>
      <c r="B896" s="21"/>
      <c r="C896" s="21"/>
      <c r="D896" s="21"/>
    </row>
    <row r="897">
      <c r="A897" s="34"/>
      <c r="B897" s="21"/>
      <c r="C897" s="21"/>
      <c r="D897" s="21"/>
    </row>
    <row r="898">
      <c r="A898" s="34"/>
      <c r="B898" s="21"/>
      <c r="C898" s="21"/>
      <c r="D898" s="21"/>
    </row>
    <row r="899">
      <c r="A899" s="34"/>
      <c r="B899" s="21"/>
      <c r="C899" s="21"/>
      <c r="D899" s="21"/>
    </row>
    <row r="900">
      <c r="A900" s="34"/>
      <c r="B900" s="21"/>
      <c r="C900" s="21"/>
      <c r="D900" s="21"/>
    </row>
    <row r="901">
      <c r="A901" s="34"/>
      <c r="B901" s="21"/>
      <c r="C901" s="21"/>
      <c r="D901" s="21"/>
    </row>
    <row r="902">
      <c r="A902" s="34"/>
      <c r="B902" s="21"/>
      <c r="C902" s="21"/>
      <c r="D902" s="21"/>
    </row>
    <row r="903">
      <c r="A903" s="34"/>
      <c r="B903" s="21"/>
      <c r="C903" s="21"/>
      <c r="D903" s="21"/>
    </row>
    <row r="904">
      <c r="A904" s="34"/>
      <c r="B904" s="21"/>
      <c r="C904" s="21"/>
      <c r="D904" s="21"/>
    </row>
    <row r="905">
      <c r="A905" s="34"/>
      <c r="B905" s="21"/>
      <c r="C905" s="21"/>
      <c r="D905" s="21"/>
    </row>
    <row r="906">
      <c r="A906" s="34"/>
      <c r="B906" s="21"/>
      <c r="C906" s="21"/>
      <c r="D906" s="21"/>
    </row>
    <row r="907">
      <c r="A907" s="34"/>
      <c r="B907" s="21"/>
      <c r="C907" s="21"/>
      <c r="D907" s="21"/>
    </row>
    <row r="908">
      <c r="A908" s="34"/>
      <c r="B908" s="21"/>
      <c r="C908" s="21"/>
      <c r="D908" s="21"/>
    </row>
    <row r="909">
      <c r="A909" s="34"/>
      <c r="B909" s="21"/>
      <c r="C909" s="21"/>
      <c r="D909" s="21"/>
    </row>
    <row r="910">
      <c r="A910" s="34"/>
      <c r="B910" s="21"/>
      <c r="C910" s="21"/>
      <c r="D910" s="21"/>
    </row>
    <row r="911">
      <c r="A911" s="34"/>
      <c r="B911" s="21"/>
      <c r="C911" s="21"/>
      <c r="D911" s="21"/>
    </row>
    <row r="912">
      <c r="A912" s="34"/>
      <c r="B912" s="21"/>
      <c r="C912" s="21"/>
      <c r="D912" s="21"/>
    </row>
    <row r="913">
      <c r="A913" s="34"/>
      <c r="B913" s="21"/>
      <c r="C913" s="21"/>
      <c r="D913" s="21"/>
    </row>
    <row r="914">
      <c r="A914" s="34"/>
      <c r="B914" s="21"/>
      <c r="C914" s="21"/>
      <c r="D914" s="21"/>
    </row>
    <row r="915">
      <c r="A915" s="34"/>
      <c r="B915" s="21"/>
      <c r="C915" s="21"/>
      <c r="D915" s="21"/>
    </row>
    <row r="916">
      <c r="A916" s="34"/>
      <c r="B916" s="21"/>
      <c r="C916" s="21"/>
      <c r="D916" s="21"/>
    </row>
    <row r="917">
      <c r="A917" s="34"/>
      <c r="B917" s="21"/>
      <c r="C917" s="21"/>
      <c r="D917" s="21"/>
    </row>
    <row r="918">
      <c r="A918" s="34"/>
      <c r="B918" s="21"/>
      <c r="C918" s="21"/>
      <c r="D918" s="21"/>
    </row>
    <row r="919">
      <c r="A919" s="34"/>
      <c r="B919" s="21"/>
      <c r="C919" s="21"/>
      <c r="D919" s="21"/>
    </row>
    <row r="920">
      <c r="A920" s="34"/>
      <c r="B920" s="21"/>
      <c r="C920" s="21"/>
      <c r="D920" s="21"/>
    </row>
    <row r="921">
      <c r="A921" s="34"/>
      <c r="B921" s="21"/>
      <c r="C921" s="21"/>
      <c r="D921" s="21"/>
    </row>
    <row r="922">
      <c r="A922" s="34"/>
      <c r="B922" s="21"/>
      <c r="C922" s="21"/>
      <c r="D922" s="21"/>
    </row>
    <row r="923">
      <c r="A923" s="34"/>
      <c r="B923" s="21"/>
      <c r="C923" s="21"/>
      <c r="D923" s="21"/>
    </row>
    <row r="924">
      <c r="A924" s="34"/>
      <c r="B924" s="21"/>
      <c r="C924" s="21"/>
      <c r="D924" s="21"/>
    </row>
    <row r="925">
      <c r="A925" s="34"/>
      <c r="B925" s="21"/>
      <c r="C925" s="21"/>
      <c r="D925" s="21"/>
    </row>
    <row r="926">
      <c r="A926" s="34"/>
      <c r="B926" s="21"/>
      <c r="C926" s="21"/>
      <c r="D926" s="21"/>
    </row>
    <row r="927">
      <c r="A927" s="34"/>
      <c r="B927" s="21"/>
      <c r="C927" s="21"/>
      <c r="D927" s="21"/>
    </row>
    <row r="928">
      <c r="A928" s="34"/>
      <c r="B928" s="21"/>
      <c r="C928" s="21"/>
      <c r="D928" s="21"/>
    </row>
    <row r="929">
      <c r="A929" s="34"/>
      <c r="B929" s="21"/>
      <c r="C929" s="21"/>
      <c r="D929" s="21"/>
    </row>
    <row r="930">
      <c r="A930" s="34"/>
      <c r="B930" s="21"/>
      <c r="C930" s="21"/>
      <c r="D930" s="21"/>
    </row>
    <row r="931">
      <c r="A931" s="34"/>
      <c r="B931" s="21"/>
      <c r="C931" s="21"/>
      <c r="D931" s="21"/>
    </row>
    <row r="932">
      <c r="A932" s="34"/>
      <c r="B932" s="21"/>
      <c r="C932" s="21"/>
      <c r="D932" s="21"/>
    </row>
    <row r="933">
      <c r="A933" s="34"/>
      <c r="B933" s="21"/>
      <c r="C933" s="21"/>
      <c r="D933" s="21"/>
    </row>
    <row r="934">
      <c r="A934" s="34"/>
      <c r="B934" s="21"/>
      <c r="C934" s="21"/>
      <c r="D934" s="21"/>
    </row>
    <row r="935">
      <c r="A935" s="34"/>
      <c r="B935" s="21"/>
      <c r="C935" s="21"/>
      <c r="D935" s="21"/>
    </row>
    <row r="936">
      <c r="A936" s="34"/>
      <c r="B936" s="21"/>
      <c r="C936" s="21"/>
      <c r="D936" s="21"/>
    </row>
    <row r="937">
      <c r="A937" s="34"/>
      <c r="B937" s="21"/>
      <c r="C937" s="21"/>
      <c r="D937" s="21"/>
    </row>
    <row r="938">
      <c r="A938" s="34"/>
      <c r="B938" s="21"/>
      <c r="C938" s="21"/>
      <c r="D938" s="21"/>
    </row>
    <row r="939">
      <c r="A939" s="34"/>
      <c r="B939" s="21"/>
      <c r="C939" s="21"/>
      <c r="D939" s="21"/>
    </row>
    <row r="940">
      <c r="A940" s="34"/>
      <c r="B940" s="21"/>
      <c r="C940" s="21"/>
      <c r="D940" s="21"/>
    </row>
    <row r="941">
      <c r="A941" s="34"/>
      <c r="B941" s="21"/>
      <c r="C941" s="21"/>
      <c r="D941" s="21"/>
    </row>
    <row r="942">
      <c r="A942" s="34"/>
      <c r="B942" s="21"/>
      <c r="C942" s="21"/>
      <c r="D942" s="21"/>
    </row>
    <row r="943">
      <c r="A943" s="34"/>
      <c r="B943" s="21"/>
      <c r="C943" s="21"/>
      <c r="D943" s="21"/>
    </row>
    <row r="944">
      <c r="A944" s="34"/>
      <c r="B944" s="21"/>
      <c r="C944" s="21"/>
      <c r="D944" s="21"/>
    </row>
    <row r="945">
      <c r="A945" s="34"/>
      <c r="B945" s="21"/>
      <c r="C945" s="21"/>
      <c r="D945" s="21"/>
    </row>
    <row r="946">
      <c r="A946" s="34"/>
      <c r="B946" s="21"/>
      <c r="C946" s="21"/>
      <c r="D946" s="21"/>
    </row>
    <row r="947">
      <c r="A947" s="34"/>
      <c r="B947" s="21"/>
      <c r="C947" s="21"/>
      <c r="D947" s="21"/>
    </row>
    <row r="948">
      <c r="A948" s="34"/>
      <c r="B948" s="21"/>
      <c r="C948" s="21"/>
      <c r="D948" s="21"/>
    </row>
    <row r="949">
      <c r="A949" s="34"/>
      <c r="B949" s="21"/>
      <c r="C949" s="21"/>
      <c r="D949" s="21"/>
    </row>
    <row r="950">
      <c r="A950" s="34"/>
      <c r="B950" s="21"/>
      <c r="C950" s="21"/>
      <c r="D950" s="21"/>
    </row>
    <row r="951">
      <c r="A951" s="34"/>
      <c r="B951" s="21"/>
      <c r="C951" s="21"/>
      <c r="D951" s="21"/>
    </row>
    <row r="952">
      <c r="A952" s="34"/>
      <c r="B952" s="21"/>
      <c r="C952" s="21"/>
      <c r="D952" s="21"/>
    </row>
    <row r="953">
      <c r="A953" s="34"/>
      <c r="B953" s="21"/>
      <c r="C953" s="21"/>
      <c r="D953" s="21"/>
    </row>
    <row r="954">
      <c r="A954" s="34"/>
      <c r="B954" s="21"/>
      <c r="C954" s="21"/>
      <c r="D954" s="21"/>
    </row>
    <row r="955">
      <c r="A955" s="34"/>
      <c r="B955" s="21"/>
      <c r="C955" s="21"/>
      <c r="D955" s="21"/>
    </row>
    <row r="956">
      <c r="A956" s="34"/>
      <c r="B956" s="21"/>
      <c r="C956" s="21"/>
      <c r="D956" s="21"/>
    </row>
    <row r="957">
      <c r="A957" s="34"/>
      <c r="B957" s="21"/>
      <c r="C957" s="21"/>
      <c r="D957" s="21"/>
    </row>
    <row r="958">
      <c r="A958" s="34"/>
      <c r="B958" s="21"/>
      <c r="C958" s="21"/>
      <c r="D958" s="21"/>
    </row>
    <row r="959">
      <c r="A959" s="34"/>
      <c r="B959" s="21"/>
      <c r="C959" s="21"/>
      <c r="D959" s="21"/>
    </row>
    <row r="960">
      <c r="A960" s="34"/>
      <c r="B960" s="21"/>
      <c r="C960" s="21"/>
      <c r="D960" s="21"/>
    </row>
    <row r="961">
      <c r="A961" s="34"/>
      <c r="B961" s="21"/>
      <c r="C961" s="21"/>
      <c r="D961" s="21"/>
    </row>
    <row r="962">
      <c r="A962" s="34"/>
      <c r="B962" s="21"/>
      <c r="C962" s="21"/>
      <c r="D962" s="21"/>
    </row>
    <row r="963">
      <c r="A963" s="34"/>
      <c r="B963" s="21"/>
      <c r="C963" s="21"/>
      <c r="D963" s="21"/>
    </row>
    <row r="964">
      <c r="A964" s="34"/>
      <c r="B964" s="21"/>
      <c r="C964" s="21"/>
      <c r="D964" s="21"/>
    </row>
    <row r="965">
      <c r="A965" s="34"/>
      <c r="B965" s="21"/>
      <c r="C965" s="21"/>
      <c r="D965" s="21"/>
    </row>
    <row r="966">
      <c r="A966" s="34"/>
      <c r="B966" s="21"/>
      <c r="C966" s="21"/>
      <c r="D966" s="21"/>
    </row>
    <row r="967">
      <c r="A967" s="34"/>
      <c r="B967" s="21"/>
      <c r="C967" s="21"/>
      <c r="D967" s="21"/>
    </row>
    <row r="968">
      <c r="A968" s="34"/>
      <c r="B968" s="21"/>
      <c r="C968" s="21"/>
      <c r="D968" s="21"/>
    </row>
    <row r="969">
      <c r="A969" s="34"/>
      <c r="B969" s="21"/>
      <c r="C969" s="21"/>
      <c r="D969" s="21"/>
    </row>
    <row r="970">
      <c r="A970" s="34"/>
      <c r="B970" s="21"/>
      <c r="C970" s="21"/>
      <c r="D970" s="21"/>
    </row>
    <row r="971">
      <c r="A971" s="34"/>
      <c r="B971" s="21"/>
      <c r="C971" s="21"/>
      <c r="D971" s="21"/>
    </row>
    <row r="972">
      <c r="A972" s="34"/>
      <c r="B972" s="21"/>
      <c r="C972" s="21"/>
      <c r="D972" s="21"/>
    </row>
    <row r="973">
      <c r="A973" s="34"/>
      <c r="B973" s="21"/>
      <c r="C973" s="21"/>
      <c r="D973" s="21"/>
    </row>
    <row r="974">
      <c r="A974" s="34"/>
      <c r="B974" s="21"/>
      <c r="C974" s="21"/>
      <c r="D974" s="21"/>
    </row>
    <row r="975">
      <c r="A975" s="34"/>
      <c r="B975" s="21"/>
      <c r="C975" s="21"/>
      <c r="D975" s="21"/>
    </row>
    <row r="976">
      <c r="A976" s="34"/>
      <c r="B976" s="21"/>
      <c r="C976" s="21"/>
      <c r="D976" s="21"/>
    </row>
    <row r="977">
      <c r="A977" s="34"/>
      <c r="B977" s="21"/>
      <c r="C977" s="21"/>
      <c r="D977" s="21"/>
    </row>
    <row r="978">
      <c r="A978" s="34"/>
      <c r="B978" s="21"/>
      <c r="C978" s="21"/>
      <c r="D978" s="21"/>
    </row>
    <row r="979">
      <c r="A979" s="34"/>
      <c r="B979" s="21"/>
      <c r="C979" s="21"/>
      <c r="D979" s="21"/>
    </row>
    <row r="980">
      <c r="A980" s="34"/>
      <c r="B980" s="21"/>
      <c r="C980" s="21"/>
      <c r="D980" s="21"/>
    </row>
    <row r="981">
      <c r="A981" s="34"/>
      <c r="B981" s="21"/>
      <c r="C981" s="21"/>
      <c r="D981" s="21"/>
    </row>
    <row r="982">
      <c r="A982" s="34"/>
      <c r="B982" s="21"/>
      <c r="C982" s="21"/>
      <c r="D982" s="21"/>
    </row>
    <row r="983">
      <c r="A983" s="34"/>
      <c r="B983" s="21"/>
      <c r="C983" s="21"/>
      <c r="D983" s="21"/>
    </row>
    <row r="984">
      <c r="A984" s="34"/>
      <c r="B984" s="21"/>
      <c r="C984" s="21"/>
      <c r="D984" s="21"/>
    </row>
    <row r="985">
      <c r="A985" s="34"/>
      <c r="B985" s="21"/>
      <c r="C985" s="21"/>
      <c r="D985" s="21"/>
    </row>
    <row r="986">
      <c r="A986" s="34"/>
      <c r="B986" s="21"/>
      <c r="C986" s="21"/>
      <c r="D986" s="21"/>
    </row>
    <row r="987">
      <c r="A987" s="34"/>
      <c r="B987" s="21"/>
      <c r="C987" s="21"/>
      <c r="D987" s="21"/>
    </row>
    <row r="988">
      <c r="A988" s="34"/>
      <c r="B988" s="21"/>
      <c r="C988" s="21"/>
      <c r="D988" s="21"/>
    </row>
    <row r="989">
      <c r="A989" s="34"/>
      <c r="B989" s="21"/>
      <c r="C989" s="21"/>
      <c r="D989" s="21"/>
    </row>
    <row r="990">
      <c r="A990" s="34"/>
      <c r="B990" s="21"/>
      <c r="C990" s="21"/>
      <c r="D990" s="21"/>
    </row>
    <row r="991">
      <c r="A991" s="34"/>
      <c r="B991" s="21"/>
      <c r="C991" s="21"/>
      <c r="D991" s="21"/>
    </row>
    <row r="992">
      <c r="A992" s="34"/>
      <c r="B992" s="21"/>
      <c r="C992" s="21"/>
      <c r="D992" s="21"/>
    </row>
    <row r="993">
      <c r="A993" s="34"/>
      <c r="B993" s="21"/>
      <c r="C993" s="21"/>
      <c r="D993" s="21"/>
    </row>
    <row r="994">
      <c r="A994" s="34"/>
      <c r="B994" s="21"/>
      <c r="C994" s="21"/>
      <c r="D994" s="21"/>
    </row>
    <row r="995">
      <c r="A995" s="34"/>
      <c r="B995" s="21"/>
      <c r="C995" s="21"/>
      <c r="D995" s="21"/>
    </row>
    <row r="996">
      <c r="A996" s="34"/>
      <c r="B996" s="21"/>
      <c r="C996" s="21"/>
      <c r="D996" s="21"/>
    </row>
    <row r="997">
      <c r="A997" s="34"/>
      <c r="B997" s="21"/>
      <c r="C997" s="21"/>
      <c r="D997" s="21"/>
    </row>
    <row r="998">
      <c r="A998" s="34"/>
      <c r="B998" s="21"/>
      <c r="C998" s="21"/>
      <c r="D998" s="21"/>
    </row>
    <row r="999">
      <c r="A999" s="34"/>
      <c r="B999" s="21"/>
      <c r="C999" s="21"/>
      <c r="D999" s="21"/>
    </row>
    <row r="1000">
      <c r="A1000" s="34"/>
      <c r="B1000" s="21"/>
      <c r="C1000" s="21"/>
      <c r="D1000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8.0"/>
    <col customWidth="1" min="3" max="3" width="15.0"/>
    <col customWidth="1" min="7" max="7" width="18.25"/>
    <col customWidth="1" min="8" max="8" width="15.38"/>
  </cols>
  <sheetData>
    <row r="1">
      <c r="A1" s="25" t="s">
        <v>0</v>
      </c>
      <c r="B1" s="26" t="s">
        <v>11</v>
      </c>
      <c r="C1" s="27" t="s">
        <v>12</v>
      </c>
      <c r="H1" s="35"/>
    </row>
    <row r="2">
      <c r="A2" s="30">
        <v>46057.0</v>
      </c>
      <c r="B2" s="21">
        <f>vlookup(A2,combine!A1:E55,4,0)</f>
        <v>0</v>
      </c>
      <c r="C2" s="21">
        <f>vlookup(A2,combine!A1:E55,5,0)</f>
        <v>0</v>
      </c>
      <c r="E2" s="36" t="s">
        <v>31</v>
      </c>
      <c r="G2" s="37">
        <f>_xlfn.COVARIANCE.S(B:B,C:C)</f>
        <v>-0.00005677908288</v>
      </c>
    </row>
    <row r="3">
      <c r="A3" s="30">
        <v>46055.0</v>
      </c>
      <c r="B3" s="21">
        <f>vlookup(A3,combine!A2:E56,4,0)</f>
        <v>0.06346180035</v>
      </c>
      <c r="C3" s="21">
        <f>vlookup(A3,combine!A2:E56,5,0)</f>
        <v>0.02770083102</v>
      </c>
      <c r="E3" s="36" t="s">
        <v>32</v>
      </c>
      <c r="F3" s="38"/>
      <c r="G3" s="39">
        <f>CORREL(B:B,C:C)</f>
        <v>-0.0321666139</v>
      </c>
    </row>
    <row r="4">
      <c r="A4" s="30">
        <v>46048.0</v>
      </c>
      <c r="B4" s="21">
        <f>vlookup(A4,combine!A3:E57,4,0)</f>
        <v>0.01324686077</v>
      </c>
      <c r="C4" s="21">
        <f>vlookup(A4,combine!A3:E57,5,0)</f>
        <v>0.009507829978</v>
      </c>
    </row>
    <row r="5">
      <c r="A5" s="30">
        <v>46041.0</v>
      </c>
      <c r="B5" s="21">
        <f>vlookup(A5,combine!A4:E58,4,0)</f>
        <v>-0.03681552366</v>
      </c>
      <c r="C5" s="21">
        <f>vlookup(A5,combine!A4:E58,5,0)</f>
        <v>-0.05396825397</v>
      </c>
    </row>
    <row r="6">
      <c r="A6" s="30">
        <v>46034.0</v>
      </c>
      <c r="B6" s="21">
        <f>vlookup(A6,combine!A5:E59,4,0)</f>
        <v>-0.002254342925</v>
      </c>
      <c r="C6" s="21">
        <f>vlookup(A6,combine!A5:E59,5,0)</f>
        <v>0.1059098888</v>
      </c>
    </row>
    <row r="7">
      <c r="A7" s="30">
        <v>46027.0</v>
      </c>
      <c r="B7" s="21">
        <f>vlookup(A7,combine!A6:E60,4,0)</f>
        <v>-0.04229108458</v>
      </c>
      <c r="C7" s="21">
        <f>vlookup(A7,combine!A6:E60,5,0)</f>
        <v>0.07013149656</v>
      </c>
    </row>
    <row r="8">
      <c r="A8" s="30">
        <v>46020.0</v>
      </c>
      <c r="B8" s="21">
        <f>vlookup(A8,combine!A7:E61,4,0)</f>
        <v>0.01169214956</v>
      </c>
      <c r="C8" s="21">
        <f>vlookup(A8,combine!A7:E61,5,0)</f>
        <v>0.005034612964</v>
      </c>
    </row>
    <row r="9">
      <c r="A9" s="30">
        <v>46013.0</v>
      </c>
      <c r="B9" s="21">
        <f>vlookup(A9,combine!A8:E62,4,0)</f>
        <v>-0.01218428735</v>
      </c>
      <c r="C9" s="21">
        <f>vlookup(A9,combine!A8:E62,5,0)</f>
        <v>0.009529860229</v>
      </c>
    </row>
    <row r="10">
      <c r="A10" s="30">
        <v>46006.0</v>
      </c>
      <c r="B10" s="21">
        <f>vlookup(A10,combine!A9:E63,4,0)</f>
        <v>0.01077613855</v>
      </c>
      <c r="C10" s="21">
        <f>vlookup(A10,combine!A9:E63,5,0)</f>
        <v>-0.01686445971</v>
      </c>
    </row>
    <row r="11">
      <c r="A11" s="30">
        <v>45999.0</v>
      </c>
      <c r="B11" s="21">
        <f>vlookup(A11,combine!A10:E64,4,0)</f>
        <v>-0.01103780766</v>
      </c>
      <c r="C11" s="21">
        <f>vlookup(A11,combine!A10:E64,5,0)</f>
        <v>-0.01658476658</v>
      </c>
    </row>
    <row r="12">
      <c r="A12" s="30">
        <v>45992.0</v>
      </c>
      <c r="B12" s="21">
        <f>vlookup(A12,combine!A11:E65,4,0)</f>
        <v>-0.01265188526</v>
      </c>
      <c r="C12" s="21">
        <f>vlookup(A12,combine!A11:E65,5,0)</f>
        <v>0.03168567807</v>
      </c>
    </row>
    <row r="13">
      <c r="A13" s="30">
        <v>45985.0</v>
      </c>
      <c r="B13" s="21">
        <f>vlookup(A13,combine!A12:E66,4,0)</f>
        <v>-0.0116379844</v>
      </c>
      <c r="C13" s="21">
        <f>vlookup(A13,combine!A12:E66,5,0)</f>
        <v>0.03815789474</v>
      </c>
    </row>
    <row r="14">
      <c r="A14" s="30">
        <v>45978.0</v>
      </c>
      <c r="B14" s="21">
        <f>vlookup(A14,combine!A13:E67,4,0)</f>
        <v>0.005727804757</v>
      </c>
      <c r="C14" s="21">
        <f>vlookup(A14,combine!A13:E67,5,0)</f>
        <v>-0.03736542115</v>
      </c>
    </row>
    <row r="15">
      <c r="A15" s="30">
        <v>45971.0</v>
      </c>
      <c r="B15" s="21">
        <f>vlookup(A15,combine!A14:E68,4,0)</f>
        <v>0.01504044489</v>
      </c>
      <c r="C15" s="21">
        <f>vlookup(A15,combine!A14:E68,5,0)</f>
        <v>0.04708222812</v>
      </c>
    </row>
    <row r="16">
      <c r="A16" s="30">
        <v>45964.0</v>
      </c>
      <c r="B16" s="21">
        <f>vlookup(A16,combine!A15:E69,4,0)</f>
        <v>0.02913631634</v>
      </c>
      <c r="C16" s="21">
        <f>vlookup(A16,combine!A15:E69,5,0)</f>
        <v>-0.003304692664</v>
      </c>
    </row>
    <row r="17">
      <c r="A17" s="30">
        <v>45957.0</v>
      </c>
      <c r="B17" s="21">
        <f>vlookup(A17,combine!A16:E70,4,0)</f>
        <v>-0.0403195606</v>
      </c>
      <c r="C17" s="21">
        <f>vlookup(A17,combine!A16:E70,5,0)</f>
        <v>0.02437373053</v>
      </c>
    </row>
    <row r="18">
      <c r="A18" s="30">
        <v>45950.0</v>
      </c>
      <c r="B18" s="21">
        <f>vlookup(A18,combine!A17:E71,4,0)</f>
        <v>-0.05564069315</v>
      </c>
      <c r="C18" s="21">
        <f>vlookup(A18,combine!A17:E71,5,0)</f>
        <v>-0.01533333333</v>
      </c>
    </row>
    <row r="19">
      <c r="A19" s="30">
        <v>45943.0</v>
      </c>
      <c r="B19" s="21">
        <f>vlookup(A19,combine!A18:E72,4,0)</f>
        <v>0.1219415421</v>
      </c>
      <c r="C19" s="21">
        <f>vlookup(A19,combine!A18:E72,5,0)</f>
        <v>0.02599179207</v>
      </c>
    </row>
    <row r="20">
      <c r="A20" s="30">
        <v>45936.0</v>
      </c>
      <c r="B20" s="21">
        <f>vlookup(A20,combine!A19:E73,4,0)</f>
        <v>0.01900269542</v>
      </c>
      <c r="C20" s="21">
        <f>vlookup(A20,combine!A19:E73,5,0)</f>
        <v>-0.07233502538</v>
      </c>
    </row>
    <row r="21">
      <c r="A21" s="30">
        <v>45929.0</v>
      </c>
      <c r="B21" s="21">
        <f>vlookup(A21,combine!A20:E74,4,0)</f>
        <v>0.04301377565</v>
      </c>
      <c r="C21" s="21">
        <f>vlookup(A21,combine!A20:E74,5,0)</f>
        <v>-0.0174563591</v>
      </c>
    </row>
    <row r="22">
      <c r="A22" s="30">
        <v>45922.0</v>
      </c>
      <c r="B22" s="21">
        <f>vlookup(A22,combine!A21:E75,4,0)</f>
        <v>-0.0176746755</v>
      </c>
      <c r="C22" s="21">
        <f>vlookup(A22,combine!A21:E75,5,0)</f>
        <v>0.0119873817</v>
      </c>
    </row>
    <row r="23">
      <c r="A23" s="30">
        <v>45915.0</v>
      </c>
      <c r="B23" s="21">
        <f>vlookup(A23,combine!A22:E76,4,0)</f>
        <v>-0.00767333516</v>
      </c>
      <c r="C23" s="21">
        <f>vlookup(A23,combine!A22:E76,5,0)</f>
        <v>0.01798330122</v>
      </c>
    </row>
    <row r="24">
      <c r="A24" s="30">
        <v>45908.0</v>
      </c>
      <c r="B24" s="21">
        <f>vlookup(A24,combine!A23:E77,4,0)</f>
        <v>-0.03222384299</v>
      </c>
      <c r="C24" s="21">
        <f>vlookup(A24,combine!A23:E77,5,0)</f>
        <v>0.01964636542</v>
      </c>
    </row>
    <row r="25">
      <c r="A25" s="30">
        <v>45901.0</v>
      </c>
      <c r="B25" s="21">
        <f>vlookup(A25,combine!A24:E78,4,0)</f>
        <v>0.0002652871734</v>
      </c>
      <c r="C25" s="21">
        <f>vlookup(A25,combine!A24:E78,5,0)</f>
        <v>-0.001308044474</v>
      </c>
    </row>
    <row r="26">
      <c r="A26" s="30">
        <v>45894.0</v>
      </c>
      <c r="B26" s="21">
        <f>vlookup(A26,combine!A25:E79,4,0)</f>
        <v>0.000398089172</v>
      </c>
      <c r="C26" s="21">
        <f>vlookup(A26,combine!A25:E79,5,0)</f>
        <v>-0.01987179487</v>
      </c>
    </row>
    <row r="27">
      <c r="A27" s="30">
        <v>45887.0</v>
      </c>
      <c r="B27" s="21">
        <f>vlookup(A27,combine!A26:E80,4,0)</f>
        <v>0.0417473044</v>
      </c>
      <c r="C27" s="21">
        <f>vlookup(A27,combine!A26:E80,5,0)</f>
        <v>-0.01886792453</v>
      </c>
    </row>
    <row r="28">
      <c r="A28" s="30">
        <v>45880.0</v>
      </c>
      <c r="B28" s="21">
        <f>vlookup(A28,combine!A27:E81,4,0)</f>
        <v>0.003328710125</v>
      </c>
      <c r="C28" s="21">
        <f>vlookup(A28,combine!A27:E81,5,0)</f>
        <v>0.09203296703</v>
      </c>
    </row>
    <row r="29">
      <c r="A29" s="30">
        <v>45873.0</v>
      </c>
      <c r="B29" s="21">
        <f>vlookup(A29,combine!A28:E82,4,0)</f>
        <v>0.01406469761</v>
      </c>
      <c r="C29" s="21">
        <f>vlookup(A29,combine!A28:E82,5,0)</f>
        <v>0.04597701149</v>
      </c>
    </row>
    <row r="30">
      <c r="A30" s="30">
        <v>45866.0</v>
      </c>
      <c r="B30" s="21">
        <f>vlookup(A30,combine!A29:E83,4,0)</f>
        <v>-0.03027823241</v>
      </c>
      <c r="C30" s="21">
        <f>vlookup(A30,combine!A29:E83,5,0)</f>
        <v>-0.05112474438</v>
      </c>
    </row>
    <row r="31">
      <c r="A31" s="30">
        <v>45859.0</v>
      </c>
      <c r="B31" s="21">
        <f>vlookup(A31,combine!A30:E84,4,0)</f>
        <v>-0.0566134843</v>
      </c>
      <c r="C31" s="21">
        <f>vlookup(A31,combine!A30:E84,5,0)</f>
        <v>0.1038374718</v>
      </c>
    </row>
    <row r="32">
      <c r="A32" s="30">
        <v>45852.0</v>
      </c>
      <c r="B32" s="21">
        <f>vlookup(A32,combine!A31:E85,4,0)</f>
        <v>0.009481750877</v>
      </c>
      <c r="C32" s="21">
        <f>vlookup(A32,combine!A31:E85,5,0)</f>
        <v>-0.0292184076</v>
      </c>
    </row>
    <row r="33">
      <c r="A33" s="30">
        <v>45845.0</v>
      </c>
      <c r="B33" s="21">
        <f>vlookup(A33,combine!A32:E86,4,0)</f>
        <v>-0.02876245742</v>
      </c>
      <c r="C33" s="21">
        <f>vlookup(A33,combine!A32:E86,5,0)</f>
        <v>-0.01934097421</v>
      </c>
    </row>
    <row r="34">
      <c r="A34" s="30">
        <v>45838.0</v>
      </c>
      <c r="B34" s="21">
        <f>vlookup(A34,combine!A33:E87,4,0)</f>
        <v>-0.0002522386177</v>
      </c>
      <c r="C34" s="21">
        <f>vlookup(A34,combine!A33:E87,5,0)</f>
        <v>0.005039596832</v>
      </c>
    </row>
    <row r="35">
      <c r="A35" s="30">
        <v>45831.0</v>
      </c>
      <c r="B35" s="21">
        <f>vlookup(A35,combine!A34:E88,4,0)</f>
        <v>-0.02759381898</v>
      </c>
      <c r="C35" s="21">
        <f>vlookup(A35,combine!A34:E88,5,0)</f>
        <v>0.0281273131</v>
      </c>
    </row>
    <row r="36">
      <c r="A36" s="30">
        <v>45824.0</v>
      </c>
      <c r="B36" s="21">
        <f>vlookup(A36,combine!A35:E89,4,0)</f>
        <v>-0.03216617211</v>
      </c>
      <c r="C36" s="21">
        <f>vlookup(A36,combine!A35:E89,5,0)</f>
        <v>-0.007347538575</v>
      </c>
    </row>
    <row r="37">
      <c r="A37" s="30">
        <v>45817.0</v>
      </c>
      <c r="B37" s="21">
        <f>vlookup(A37,combine!A36:E90,4,0)</f>
        <v>-0.02825836217</v>
      </c>
      <c r="C37" s="21">
        <f>vlookup(A37,combine!A36:E90,5,0)</f>
        <v>-0.01661849711</v>
      </c>
    </row>
    <row r="38">
      <c r="A38" s="30">
        <v>45810.0</v>
      </c>
      <c r="B38" s="21">
        <f>vlookup(A38,combine!A37:E91,4,0)</f>
        <v>-0.01140250855</v>
      </c>
      <c r="C38" s="21">
        <f>vlookup(A38,combine!A37:E91,5,0)</f>
        <v>-0.01983002833</v>
      </c>
    </row>
    <row r="39">
      <c r="A39" s="30">
        <v>45803.0</v>
      </c>
      <c r="B39" s="21">
        <f>vlookup(A39,combine!A38:E92,4,0)</f>
        <v>-0.00926344329</v>
      </c>
      <c r="C39" s="21">
        <f>vlookup(A39,combine!A38:E92,5,0)</f>
        <v>0.04283604136</v>
      </c>
    </row>
    <row r="40">
      <c r="A40" s="30">
        <v>45796.0</v>
      </c>
      <c r="B40" s="21">
        <f>vlookup(A40,combine!A39:E93,4,0)</f>
        <v>0.0235892692</v>
      </c>
      <c r="C40" s="21">
        <f>vlookup(A40,combine!A39:E93,5,0)</f>
        <v>0</v>
      </c>
    </row>
    <row r="41">
      <c r="A41" s="30">
        <v>45789.0</v>
      </c>
      <c r="B41" s="21">
        <f>vlookup(A41,combine!A40:E94,4,0)</f>
        <v>-0.01334854535</v>
      </c>
      <c r="C41" s="21">
        <f>vlookup(A41,combine!A40:E94,5,0)</f>
        <v>0.08060654429</v>
      </c>
    </row>
    <row r="42">
      <c r="A42" s="30">
        <v>45782.0</v>
      </c>
      <c r="B42" s="21">
        <f>vlookup(A42,combine!A41:E95,4,0)</f>
        <v>0.0005707762557</v>
      </c>
      <c r="C42" s="21">
        <f>vlookup(A42,combine!A41:E95,5,0)</f>
        <v>0.01869918699</v>
      </c>
    </row>
    <row r="43">
      <c r="A43" s="30">
        <v>45775.0</v>
      </c>
      <c r="B43" s="21">
        <f>vlookup(A43,combine!A42:E96,4,0)</f>
        <v>0.06152223151</v>
      </c>
      <c r="C43" s="21">
        <f>vlookup(A43,combine!A42:E96,5,0)</f>
        <v>0.002444987775</v>
      </c>
    </row>
    <row r="44">
      <c r="A44" s="30">
        <v>45768.0</v>
      </c>
      <c r="B44" s="21">
        <f>vlookup(A44,combine!A43:E97,4,0)</f>
        <v>-0.002228500184</v>
      </c>
      <c r="C44" s="21">
        <f>vlookup(A44,combine!A43:E97,5,0)</f>
        <v>0.03369839933</v>
      </c>
    </row>
    <row r="45">
      <c r="A45" s="30">
        <v>45761.0</v>
      </c>
      <c r="B45" s="21">
        <f>vlookup(A45,combine!A44:E98,4,0)</f>
        <v>-0.002223545014</v>
      </c>
      <c r="C45" s="21">
        <f>vlookup(A45,combine!A44:E98,5,0)</f>
        <v>0.02415875755</v>
      </c>
    </row>
    <row r="46">
      <c r="A46" s="30">
        <v>45754.0</v>
      </c>
      <c r="B46" s="21">
        <f>vlookup(A46,combine!A45:E99,4,0)</f>
        <v>-0.002218611831</v>
      </c>
      <c r="C46" s="21">
        <f>vlookup(A46,combine!A45:E99,5,0)</f>
        <v>0.06820276498</v>
      </c>
    </row>
    <row r="47">
      <c r="A47" s="30">
        <v>45747.0</v>
      </c>
      <c r="B47" s="21">
        <f>vlookup(A47,combine!A46:E100,4,0)</f>
        <v>-0.002213700489</v>
      </c>
      <c r="C47" s="21">
        <f>vlookup(A47,combine!A46:E100,5,0)</f>
        <v>-0.2086068563</v>
      </c>
    </row>
    <row r="48">
      <c r="A48" s="30">
        <v>45740.0</v>
      </c>
      <c r="B48" s="21">
        <f>vlookup(A48,combine!A47:E101,4,0)</f>
        <v>-0.002208810843</v>
      </c>
      <c r="C48" s="21">
        <f>vlookup(A48,combine!A47:E101,5,0)</f>
        <v>-0.06671204901</v>
      </c>
    </row>
    <row r="49">
      <c r="A49" s="30">
        <v>45733.0</v>
      </c>
      <c r="B49" s="21">
        <f>vlookup(A49,combine!A48:E102,4,0)</f>
        <v>-0.00220394275</v>
      </c>
      <c r="C49" s="21">
        <f>vlookup(A49,combine!A48:E102,5,0)</f>
        <v>0.09626865672</v>
      </c>
    </row>
    <row r="50">
      <c r="A50" s="30">
        <v>45726.0</v>
      </c>
      <c r="B50" s="21">
        <f>vlookup(A50,combine!A49:E103,4,0)</f>
        <v>-0.002199096068</v>
      </c>
      <c r="C50" s="21">
        <f>vlookup(A50,combine!A49:E103,5,0)</f>
        <v>0.04933437745</v>
      </c>
    </row>
    <row r="51">
      <c r="A51" s="30">
        <v>45719.0</v>
      </c>
      <c r="B51" s="21">
        <f>vlookup(A51,combine!A50:E104,4,0)</f>
        <v>-0.002194270656</v>
      </c>
      <c r="C51" s="21">
        <f>vlookup(A51,combine!A50:E104,5,0)</f>
        <v>0.02241793435</v>
      </c>
    </row>
    <row r="52">
      <c r="A52" s="30">
        <v>45712.0</v>
      </c>
      <c r="B52" s="21">
        <f>vlookup(A52,combine!A51:E105,4,0)</f>
        <v>-0.002189466375</v>
      </c>
      <c r="C52" s="21">
        <f>vlookup(A52,combine!A51:E105,5,0)</f>
        <v>0.007258064516</v>
      </c>
    </row>
    <row r="53">
      <c r="A53" s="30">
        <v>45705.0</v>
      </c>
      <c r="B53" s="21">
        <f>vlookup(A53,combine!A52:E106,4,0)</f>
        <v>-0.002184683084</v>
      </c>
      <c r="C53" s="21">
        <f>vlookup(A53,combine!A52:E106,5,0)</f>
        <v>-0.0127388535</v>
      </c>
    </row>
    <row r="54">
      <c r="A54" s="30">
        <v>45698.0</v>
      </c>
      <c r="B54" s="21">
        <f>vlookup(A54,combine!A53:E107,4,0)</f>
        <v>0.1277387179</v>
      </c>
      <c r="C54" s="21">
        <f>vlookup(A54,combine!A53:E107,5,0)</f>
        <v>0.02113821138</v>
      </c>
    </row>
    <row r="55">
      <c r="A55" s="30"/>
      <c r="B55" s="21"/>
      <c r="C55" s="21"/>
    </row>
    <row r="56">
      <c r="A56" s="34"/>
      <c r="B56" s="21"/>
      <c r="C56" s="21"/>
    </row>
    <row r="57">
      <c r="A57" s="34"/>
      <c r="B57" s="21"/>
      <c r="C57" s="21"/>
    </row>
    <row r="58">
      <c r="A58" s="34"/>
      <c r="B58" s="21"/>
      <c r="C58" s="21"/>
    </row>
    <row r="59">
      <c r="A59" s="34"/>
      <c r="B59" s="21"/>
      <c r="C59" s="21"/>
    </row>
    <row r="60">
      <c r="A60" s="34"/>
      <c r="B60" s="21"/>
      <c r="C60" s="21"/>
    </row>
    <row r="61">
      <c r="A61" s="34"/>
      <c r="B61" s="21"/>
      <c r="C61" s="21"/>
    </row>
    <row r="62">
      <c r="A62" s="34"/>
      <c r="B62" s="21"/>
      <c r="C62" s="21"/>
    </row>
    <row r="63">
      <c r="A63" s="34"/>
      <c r="B63" s="21"/>
      <c r="C63" s="21"/>
    </row>
    <row r="64">
      <c r="A64" s="34"/>
      <c r="B64" s="21"/>
      <c r="C64" s="21"/>
    </row>
    <row r="65">
      <c r="A65" s="34"/>
      <c r="B65" s="21"/>
      <c r="C65" s="21"/>
    </row>
    <row r="66">
      <c r="A66" s="34"/>
      <c r="B66" s="21"/>
      <c r="C66" s="21"/>
    </row>
    <row r="67">
      <c r="A67" s="34"/>
      <c r="B67" s="21"/>
      <c r="C67" s="21"/>
    </row>
    <row r="68">
      <c r="A68" s="34"/>
      <c r="B68" s="21"/>
      <c r="C68" s="21"/>
    </row>
    <row r="69">
      <c r="A69" s="34"/>
      <c r="B69" s="21"/>
      <c r="C69" s="21"/>
    </row>
    <row r="70">
      <c r="A70" s="34"/>
      <c r="B70" s="21"/>
      <c r="C70" s="21"/>
    </row>
    <row r="71">
      <c r="A71" s="34"/>
      <c r="B71" s="21"/>
      <c r="C71" s="21"/>
    </row>
    <row r="72">
      <c r="A72" s="34"/>
      <c r="B72" s="21"/>
      <c r="C72" s="21"/>
    </row>
    <row r="73">
      <c r="A73" s="34"/>
      <c r="B73" s="21"/>
      <c r="C73" s="21"/>
    </row>
    <row r="74">
      <c r="A74" s="34"/>
      <c r="B74" s="21"/>
      <c r="C74" s="21"/>
    </row>
    <row r="75">
      <c r="A75" s="34"/>
      <c r="B75" s="21"/>
      <c r="C75" s="21"/>
    </row>
    <row r="76">
      <c r="A76" s="34"/>
      <c r="B76" s="21"/>
      <c r="C76" s="21"/>
    </row>
    <row r="77">
      <c r="A77" s="34"/>
      <c r="B77" s="21"/>
      <c r="C77" s="21"/>
    </row>
    <row r="78">
      <c r="A78" s="34"/>
      <c r="B78" s="21"/>
      <c r="C78" s="21"/>
    </row>
    <row r="79">
      <c r="A79" s="34"/>
      <c r="B79" s="21"/>
      <c r="C79" s="21"/>
    </row>
    <row r="80">
      <c r="A80" s="34"/>
      <c r="B80" s="21"/>
      <c r="C80" s="21"/>
    </row>
    <row r="81">
      <c r="A81" s="34"/>
      <c r="B81" s="21"/>
      <c r="C81" s="21"/>
    </row>
    <row r="82">
      <c r="A82" s="34"/>
      <c r="B82" s="21"/>
      <c r="C82" s="21"/>
    </row>
    <row r="83">
      <c r="A83" s="34"/>
      <c r="B83" s="21"/>
      <c r="C83" s="21"/>
    </row>
    <row r="84">
      <c r="A84" s="34"/>
      <c r="B84" s="21"/>
      <c r="C84" s="21"/>
    </row>
    <row r="85">
      <c r="A85" s="34"/>
      <c r="B85" s="21"/>
      <c r="C85" s="21"/>
    </row>
    <row r="86">
      <c r="A86" s="34"/>
      <c r="B86" s="21"/>
      <c r="C86" s="21"/>
    </row>
    <row r="87">
      <c r="A87" s="34"/>
      <c r="B87" s="21"/>
      <c r="C87" s="21"/>
    </row>
    <row r="88">
      <c r="A88" s="34"/>
      <c r="B88" s="21"/>
      <c r="C88" s="21"/>
    </row>
    <row r="89">
      <c r="A89" s="34"/>
      <c r="B89" s="21"/>
      <c r="C89" s="21"/>
    </row>
    <row r="90">
      <c r="A90" s="34"/>
      <c r="B90" s="21"/>
      <c r="C90" s="21"/>
    </row>
    <row r="91">
      <c r="A91" s="34"/>
      <c r="B91" s="21"/>
      <c r="C91" s="21"/>
    </row>
    <row r="92">
      <c r="A92" s="34"/>
      <c r="B92" s="21"/>
      <c r="C92" s="21"/>
    </row>
    <row r="93">
      <c r="A93" s="34"/>
      <c r="B93" s="21"/>
      <c r="C93" s="21"/>
    </row>
    <row r="94">
      <c r="A94" s="34"/>
      <c r="B94" s="21"/>
      <c r="C94" s="21"/>
    </row>
    <row r="95">
      <c r="A95" s="34"/>
      <c r="B95" s="21"/>
      <c r="C95" s="21"/>
    </row>
    <row r="96">
      <c r="A96" s="34"/>
      <c r="B96" s="21"/>
      <c r="C96" s="21"/>
    </row>
    <row r="97">
      <c r="A97" s="34"/>
      <c r="B97" s="21"/>
      <c r="C97" s="21"/>
    </row>
    <row r="98">
      <c r="A98" s="34"/>
      <c r="B98" s="21"/>
      <c r="C98" s="21"/>
    </row>
    <row r="99">
      <c r="A99" s="34"/>
      <c r="B99" s="21"/>
      <c r="C99" s="21"/>
    </row>
    <row r="100">
      <c r="A100" s="34"/>
      <c r="B100" s="21"/>
      <c r="C100" s="21"/>
    </row>
    <row r="101">
      <c r="A101" s="34"/>
      <c r="B101" s="21"/>
      <c r="C101" s="21"/>
    </row>
    <row r="102">
      <c r="A102" s="34"/>
      <c r="B102" s="21"/>
      <c r="C102" s="21"/>
    </row>
    <row r="103">
      <c r="A103" s="34"/>
      <c r="B103" s="21"/>
      <c r="C103" s="21"/>
    </row>
    <row r="104">
      <c r="A104" s="34"/>
      <c r="B104" s="21"/>
      <c r="C104" s="21"/>
    </row>
    <row r="105">
      <c r="A105" s="34"/>
      <c r="B105" s="21"/>
      <c r="C105" s="21"/>
    </row>
    <row r="106">
      <c r="A106" s="34"/>
      <c r="B106" s="21"/>
      <c r="C106" s="21"/>
    </row>
    <row r="107">
      <c r="A107" s="34"/>
      <c r="B107" s="21"/>
      <c r="C107" s="21"/>
    </row>
    <row r="108">
      <c r="A108" s="34"/>
      <c r="B108" s="21"/>
      <c r="C108" s="21"/>
    </row>
    <row r="109">
      <c r="A109" s="34"/>
      <c r="B109" s="21"/>
      <c r="C109" s="21"/>
    </row>
    <row r="110">
      <c r="A110" s="34"/>
      <c r="B110" s="21"/>
      <c r="C110" s="21"/>
    </row>
    <row r="111">
      <c r="A111" s="34"/>
      <c r="B111" s="21"/>
      <c r="C111" s="21"/>
    </row>
    <row r="112">
      <c r="A112" s="34"/>
      <c r="B112" s="21"/>
      <c r="C112" s="21"/>
    </row>
    <row r="113">
      <c r="A113" s="34"/>
      <c r="B113" s="21"/>
      <c r="C113" s="21"/>
    </row>
    <row r="114">
      <c r="A114" s="34"/>
      <c r="B114" s="21"/>
      <c r="C114" s="21"/>
    </row>
    <row r="115">
      <c r="A115" s="34"/>
      <c r="B115" s="21"/>
      <c r="C115" s="21"/>
    </row>
    <row r="116">
      <c r="A116" s="34"/>
      <c r="B116" s="21"/>
      <c r="C116" s="21"/>
    </row>
    <row r="117">
      <c r="A117" s="34"/>
      <c r="B117" s="21"/>
      <c r="C117" s="21"/>
    </row>
    <row r="118">
      <c r="A118" s="34"/>
      <c r="B118" s="21"/>
      <c r="C118" s="21"/>
    </row>
    <row r="119">
      <c r="A119" s="34"/>
      <c r="B119" s="21"/>
      <c r="C119" s="21"/>
    </row>
    <row r="120">
      <c r="A120" s="34"/>
      <c r="B120" s="21"/>
      <c r="C120" s="21"/>
    </row>
    <row r="121">
      <c r="A121" s="34"/>
      <c r="B121" s="21"/>
      <c r="C121" s="21"/>
    </row>
    <row r="122">
      <c r="A122" s="34"/>
      <c r="B122" s="21"/>
      <c r="C122" s="21"/>
    </row>
    <row r="123">
      <c r="A123" s="34"/>
      <c r="B123" s="21"/>
      <c r="C123" s="21"/>
    </row>
    <row r="124">
      <c r="A124" s="34"/>
      <c r="B124" s="21"/>
      <c r="C124" s="21"/>
    </row>
    <row r="125">
      <c r="A125" s="34"/>
      <c r="B125" s="21"/>
      <c r="C125" s="21"/>
    </row>
    <row r="126">
      <c r="A126" s="34"/>
      <c r="B126" s="21"/>
      <c r="C126" s="21"/>
    </row>
    <row r="127">
      <c r="A127" s="34"/>
      <c r="B127" s="21"/>
      <c r="C127" s="21"/>
    </row>
    <row r="128">
      <c r="A128" s="34"/>
      <c r="B128" s="21"/>
      <c r="C128" s="21"/>
    </row>
    <row r="129">
      <c r="A129" s="34"/>
      <c r="B129" s="21"/>
      <c r="C129" s="21"/>
    </row>
    <row r="130">
      <c r="A130" s="34"/>
      <c r="B130" s="21"/>
      <c r="C130" s="21"/>
    </row>
    <row r="131">
      <c r="A131" s="34"/>
      <c r="B131" s="21"/>
      <c r="C131" s="21"/>
    </row>
    <row r="132">
      <c r="A132" s="34"/>
      <c r="B132" s="21"/>
      <c r="C132" s="21"/>
    </row>
    <row r="133">
      <c r="A133" s="34"/>
      <c r="B133" s="21"/>
      <c r="C133" s="21"/>
    </row>
    <row r="134">
      <c r="A134" s="34"/>
      <c r="B134" s="21"/>
      <c r="C134" s="21"/>
    </row>
    <row r="135">
      <c r="A135" s="34"/>
      <c r="B135" s="21"/>
      <c r="C135" s="21"/>
    </row>
    <row r="136">
      <c r="A136" s="34"/>
      <c r="B136" s="21"/>
      <c r="C136" s="21"/>
    </row>
    <row r="137">
      <c r="A137" s="34"/>
      <c r="B137" s="21"/>
      <c r="C137" s="21"/>
    </row>
    <row r="138">
      <c r="A138" s="34"/>
      <c r="B138" s="21"/>
      <c r="C138" s="21"/>
    </row>
    <row r="139">
      <c r="A139" s="34"/>
      <c r="B139" s="21"/>
      <c r="C139" s="21"/>
    </row>
    <row r="140">
      <c r="A140" s="34"/>
      <c r="B140" s="21"/>
      <c r="C140" s="21"/>
    </row>
    <row r="141">
      <c r="A141" s="34"/>
      <c r="B141" s="21"/>
      <c r="C141" s="21"/>
    </row>
    <row r="142">
      <c r="A142" s="34"/>
      <c r="B142" s="21"/>
      <c r="C142" s="21"/>
    </row>
    <row r="143">
      <c r="A143" s="34"/>
      <c r="B143" s="21"/>
      <c r="C143" s="21"/>
    </row>
    <row r="144">
      <c r="A144" s="34"/>
      <c r="B144" s="21"/>
      <c r="C144" s="21"/>
    </row>
    <row r="145">
      <c r="A145" s="34"/>
      <c r="B145" s="21"/>
      <c r="C145" s="21"/>
    </row>
    <row r="146">
      <c r="A146" s="34"/>
      <c r="B146" s="21"/>
      <c r="C146" s="21"/>
    </row>
    <row r="147">
      <c r="A147" s="34"/>
      <c r="B147" s="21"/>
      <c r="C147" s="21"/>
    </row>
    <row r="148">
      <c r="A148" s="34"/>
      <c r="B148" s="21"/>
      <c r="C148" s="21"/>
    </row>
    <row r="149">
      <c r="A149" s="34"/>
      <c r="B149" s="21"/>
      <c r="C149" s="21"/>
    </row>
    <row r="150">
      <c r="A150" s="34"/>
      <c r="B150" s="21"/>
      <c r="C150" s="21"/>
    </row>
    <row r="151">
      <c r="A151" s="34"/>
      <c r="B151" s="21"/>
      <c r="C151" s="21"/>
    </row>
    <row r="152">
      <c r="A152" s="34"/>
      <c r="B152" s="21"/>
      <c r="C152" s="21"/>
    </row>
    <row r="153">
      <c r="A153" s="34"/>
      <c r="B153" s="21"/>
      <c r="C153" s="21"/>
    </row>
    <row r="154">
      <c r="A154" s="34"/>
      <c r="B154" s="21"/>
      <c r="C154" s="21"/>
    </row>
    <row r="155">
      <c r="A155" s="34"/>
      <c r="B155" s="21"/>
      <c r="C155" s="21"/>
    </row>
    <row r="156">
      <c r="A156" s="34"/>
      <c r="B156" s="21"/>
      <c r="C156" s="21"/>
    </row>
    <row r="157">
      <c r="A157" s="34"/>
      <c r="B157" s="21"/>
      <c r="C157" s="21"/>
    </row>
    <row r="158">
      <c r="A158" s="34"/>
      <c r="B158" s="21"/>
      <c r="C158" s="21"/>
    </row>
    <row r="159">
      <c r="A159" s="34"/>
      <c r="B159" s="21"/>
      <c r="C159" s="21"/>
    </row>
    <row r="160">
      <c r="A160" s="34"/>
      <c r="B160" s="21"/>
      <c r="C160" s="21"/>
    </row>
    <row r="161">
      <c r="A161" s="34"/>
      <c r="B161" s="21"/>
      <c r="C161" s="21"/>
    </row>
    <row r="162">
      <c r="A162" s="34"/>
      <c r="B162" s="21"/>
      <c r="C162" s="21"/>
    </row>
    <row r="163">
      <c r="A163" s="34"/>
      <c r="B163" s="21"/>
      <c r="C163" s="21"/>
    </row>
    <row r="164">
      <c r="A164" s="34"/>
      <c r="B164" s="21"/>
      <c r="C164" s="21"/>
    </row>
    <row r="165">
      <c r="A165" s="34"/>
      <c r="B165" s="21"/>
      <c r="C165" s="21"/>
    </row>
    <row r="166">
      <c r="A166" s="34"/>
      <c r="B166" s="21"/>
      <c r="C166" s="21"/>
    </row>
    <row r="167">
      <c r="A167" s="34"/>
      <c r="B167" s="21"/>
      <c r="C167" s="21"/>
    </row>
    <row r="168">
      <c r="A168" s="34"/>
      <c r="B168" s="21"/>
      <c r="C168" s="21"/>
    </row>
    <row r="169">
      <c r="A169" s="34"/>
      <c r="B169" s="21"/>
      <c r="C169" s="21"/>
    </row>
    <row r="170">
      <c r="A170" s="34"/>
      <c r="B170" s="21"/>
      <c r="C170" s="21"/>
    </row>
    <row r="171">
      <c r="A171" s="34"/>
      <c r="B171" s="21"/>
      <c r="C171" s="21"/>
    </row>
    <row r="172">
      <c r="A172" s="34"/>
      <c r="B172" s="21"/>
      <c r="C172" s="21"/>
    </row>
    <row r="173">
      <c r="A173" s="34"/>
      <c r="B173" s="21"/>
      <c r="C173" s="21"/>
    </row>
    <row r="174">
      <c r="A174" s="34"/>
      <c r="B174" s="21"/>
      <c r="C174" s="21"/>
    </row>
    <row r="175">
      <c r="A175" s="34"/>
      <c r="B175" s="21"/>
      <c r="C175" s="21"/>
    </row>
    <row r="176">
      <c r="A176" s="34"/>
      <c r="B176" s="21"/>
      <c r="C176" s="21"/>
    </row>
    <row r="177">
      <c r="A177" s="34"/>
      <c r="B177" s="21"/>
      <c r="C177" s="21"/>
    </row>
    <row r="178">
      <c r="A178" s="34"/>
      <c r="B178" s="21"/>
      <c r="C178" s="21"/>
    </row>
    <row r="179">
      <c r="A179" s="34"/>
      <c r="B179" s="21"/>
      <c r="C179" s="21"/>
    </row>
    <row r="180">
      <c r="A180" s="34"/>
      <c r="B180" s="21"/>
      <c r="C180" s="21"/>
    </row>
    <row r="181">
      <c r="A181" s="34"/>
      <c r="B181" s="21"/>
      <c r="C181" s="21"/>
    </row>
    <row r="182">
      <c r="A182" s="34"/>
      <c r="B182" s="21"/>
      <c r="C182" s="21"/>
    </row>
    <row r="183">
      <c r="A183" s="34"/>
      <c r="B183" s="21"/>
      <c r="C183" s="21"/>
    </row>
    <row r="184">
      <c r="A184" s="34"/>
      <c r="B184" s="21"/>
      <c r="C184" s="21"/>
    </row>
    <row r="185">
      <c r="A185" s="34"/>
      <c r="B185" s="21"/>
      <c r="C185" s="21"/>
    </row>
    <row r="186">
      <c r="A186" s="34"/>
      <c r="B186" s="21"/>
      <c r="C186" s="21"/>
    </row>
    <row r="187">
      <c r="A187" s="34"/>
      <c r="B187" s="21"/>
      <c r="C187" s="21"/>
    </row>
    <row r="188">
      <c r="A188" s="34"/>
      <c r="B188" s="21"/>
      <c r="C188" s="21"/>
    </row>
    <row r="189">
      <c r="A189" s="34"/>
      <c r="B189" s="21"/>
      <c r="C189" s="21"/>
    </row>
    <row r="190">
      <c r="A190" s="34"/>
      <c r="B190" s="21"/>
      <c r="C190" s="21"/>
    </row>
    <row r="191">
      <c r="A191" s="34"/>
      <c r="B191" s="21"/>
      <c r="C191" s="21"/>
    </row>
    <row r="192">
      <c r="A192" s="34"/>
      <c r="B192" s="21"/>
      <c r="C192" s="21"/>
    </row>
    <row r="193">
      <c r="A193" s="34"/>
      <c r="B193" s="21"/>
      <c r="C193" s="21"/>
    </row>
    <row r="194">
      <c r="A194" s="34"/>
      <c r="B194" s="21"/>
      <c r="C194" s="21"/>
    </row>
    <row r="195">
      <c r="A195" s="34"/>
      <c r="B195" s="21"/>
      <c r="C195" s="21"/>
    </row>
    <row r="196">
      <c r="A196" s="34"/>
      <c r="B196" s="21"/>
      <c r="C196" s="21"/>
    </row>
    <row r="197">
      <c r="A197" s="34"/>
      <c r="B197" s="21"/>
      <c r="C197" s="21"/>
    </row>
    <row r="198">
      <c r="A198" s="34"/>
      <c r="B198" s="21"/>
      <c r="C198" s="21"/>
    </row>
    <row r="199">
      <c r="A199" s="34"/>
      <c r="B199" s="21"/>
      <c r="C199" s="21"/>
    </row>
    <row r="200">
      <c r="A200" s="34"/>
      <c r="B200" s="21"/>
      <c r="C200" s="21"/>
    </row>
    <row r="201">
      <c r="A201" s="34"/>
      <c r="B201" s="21"/>
      <c r="C201" s="21"/>
    </row>
    <row r="202">
      <c r="A202" s="34"/>
      <c r="B202" s="21"/>
      <c r="C202" s="21"/>
    </row>
    <row r="203">
      <c r="A203" s="34"/>
      <c r="B203" s="21"/>
      <c r="C203" s="21"/>
    </row>
    <row r="204">
      <c r="A204" s="34"/>
      <c r="B204" s="21"/>
      <c r="C204" s="21"/>
    </row>
    <row r="205">
      <c r="A205" s="34"/>
      <c r="B205" s="21"/>
      <c r="C205" s="21"/>
    </row>
    <row r="206">
      <c r="A206" s="34"/>
      <c r="B206" s="21"/>
      <c r="C206" s="21"/>
    </row>
    <row r="207">
      <c r="A207" s="34"/>
      <c r="B207" s="21"/>
      <c r="C207" s="21"/>
    </row>
    <row r="208">
      <c r="A208" s="34"/>
      <c r="B208" s="21"/>
      <c r="C208" s="21"/>
    </row>
    <row r="209">
      <c r="A209" s="34"/>
      <c r="B209" s="21"/>
      <c r="C209" s="21"/>
    </row>
    <row r="210">
      <c r="A210" s="34"/>
      <c r="B210" s="21"/>
      <c r="C210" s="21"/>
    </row>
    <row r="211">
      <c r="A211" s="34"/>
      <c r="B211" s="21"/>
      <c r="C211" s="21"/>
    </row>
    <row r="212">
      <c r="A212" s="34"/>
      <c r="B212" s="21"/>
      <c r="C212" s="21"/>
    </row>
    <row r="213">
      <c r="A213" s="34"/>
      <c r="B213" s="21"/>
      <c r="C213" s="21"/>
    </row>
    <row r="214">
      <c r="A214" s="34"/>
      <c r="B214" s="21"/>
      <c r="C214" s="21"/>
    </row>
    <row r="215">
      <c r="A215" s="34"/>
      <c r="B215" s="21"/>
      <c r="C215" s="21"/>
    </row>
    <row r="216">
      <c r="A216" s="34"/>
      <c r="B216" s="21"/>
      <c r="C216" s="21"/>
    </row>
    <row r="217">
      <c r="A217" s="34"/>
      <c r="B217" s="21"/>
      <c r="C217" s="21"/>
    </row>
    <row r="218">
      <c r="A218" s="34"/>
      <c r="B218" s="21"/>
      <c r="C218" s="21"/>
    </row>
    <row r="219">
      <c r="A219" s="34"/>
      <c r="B219" s="21"/>
      <c r="C219" s="21"/>
    </row>
    <row r="220">
      <c r="A220" s="34"/>
      <c r="B220" s="21"/>
      <c r="C220" s="21"/>
    </row>
    <row r="221">
      <c r="A221" s="34"/>
      <c r="B221" s="21"/>
      <c r="C221" s="21"/>
    </row>
    <row r="222">
      <c r="A222" s="34"/>
      <c r="B222" s="21"/>
      <c r="C222" s="21"/>
    </row>
    <row r="223">
      <c r="A223" s="34"/>
      <c r="B223" s="21"/>
      <c r="C223" s="21"/>
    </row>
    <row r="224">
      <c r="A224" s="34"/>
      <c r="B224" s="21"/>
      <c r="C224" s="21"/>
    </row>
    <row r="225">
      <c r="A225" s="34"/>
      <c r="B225" s="21"/>
      <c r="C225" s="21"/>
    </row>
    <row r="226">
      <c r="A226" s="34"/>
      <c r="B226" s="21"/>
      <c r="C226" s="21"/>
    </row>
    <row r="227">
      <c r="A227" s="34"/>
      <c r="B227" s="21"/>
      <c r="C227" s="21"/>
    </row>
    <row r="228">
      <c r="A228" s="34"/>
      <c r="B228" s="21"/>
      <c r="C228" s="21"/>
    </row>
    <row r="229">
      <c r="A229" s="34"/>
      <c r="B229" s="21"/>
      <c r="C229" s="21"/>
    </row>
    <row r="230">
      <c r="A230" s="34"/>
      <c r="B230" s="21"/>
      <c r="C230" s="21"/>
    </row>
    <row r="231">
      <c r="A231" s="34"/>
      <c r="B231" s="21"/>
      <c r="C231" s="21"/>
    </row>
    <row r="232">
      <c r="A232" s="34"/>
      <c r="B232" s="21"/>
      <c r="C232" s="21"/>
    </row>
    <row r="233">
      <c r="A233" s="34"/>
      <c r="B233" s="21"/>
      <c r="C233" s="21"/>
    </row>
    <row r="234">
      <c r="A234" s="34"/>
      <c r="B234" s="21"/>
      <c r="C234" s="21"/>
    </row>
    <row r="235">
      <c r="A235" s="34"/>
      <c r="B235" s="21"/>
      <c r="C235" s="21"/>
    </row>
    <row r="236">
      <c r="A236" s="34"/>
      <c r="B236" s="21"/>
      <c r="C236" s="21"/>
    </row>
    <row r="237">
      <c r="A237" s="34"/>
      <c r="B237" s="21"/>
      <c r="C237" s="21"/>
    </row>
    <row r="238">
      <c r="A238" s="34"/>
      <c r="B238" s="21"/>
      <c r="C238" s="21"/>
    </row>
    <row r="239">
      <c r="A239" s="34"/>
      <c r="B239" s="21"/>
      <c r="C239" s="21"/>
    </row>
    <row r="240">
      <c r="A240" s="34"/>
      <c r="B240" s="21"/>
      <c r="C240" s="21"/>
    </row>
    <row r="241">
      <c r="A241" s="34"/>
      <c r="B241" s="21"/>
      <c r="C241" s="21"/>
    </row>
    <row r="242">
      <c r="A242" s="34"/>
      <c r="B242" s="21"/>
      <c r="C242" s="21"/>
    </row>
    <row r="243">
      <c r="A243" s="34"/>
      <c r="B243" s="21"/>
      <c r="C243" s="21"/>
    </row>
    <row r="244">
      <c r="A244" s="34"/>
      <c r="B244" s="21"/>
      <c r="C244" s="21"/>
    </row>
    <row r="245">
      <c r="A245" s="34"/>
      <c r="B245" s="21"/>
      <c r="C245" s="21"/>
    </row>
    <row r="246">
      <c r="A246" s="34"/>
      <c r="B246" s="21"/>
      <c r="C246" s="21"/>
    </row>
    <row r="247">
      <c r="A247" s="34"/>
      <c r="B247" s="21"/>
      <c r="C247" s="21"/>
    </row>
    <row r="248">
      <c r="A248" s="34"/>
      <c r="B248" s="21"/>
      <c r="C248" s="21"/>
    </row>
    <row r="249">
      <c r="A249" s="34"/>
      <c r="B249" s="21"/>
      <c r="C249" s="21"/>
    </row>
    <row r="250">
      <c r="A250" s="34"/>
      <c r="B250" s="21"/>
      <c r="C250" s="21"/>
    </row>
    <row r="251">
      <c r="A251" s="34"/>
      <c r="B251" s="21"/>
      <c r="C251" s="21"/>
    </row>
    <row r="252">
      <c r="A252" s="34"/>
      <c r="B252" s="21"/>
      <c r="C252" s="21"/>
    </row>
    <row r="253">
      <c r="A253" s="34"/>
      <c r="B253" s="21"/>
      <c r="C253" s="21"/>
    </row>
    <row r="254">
      <c r="A254" s="34"/>
      <c r="B254" s="21"/>
      <c r="C254" s="21"/>
    </row>
    <row r="255">
      <c r="A255" s="34"/>
      <c r="B255" s="21"/>
      <c r="C255" s="21"/>
    </row>
    <row r="256">
      <c r="A256" s="34"/>
      <c r="B256" s="21"/>
      <c r="C256" s="21"/>
    </row>
    <row r="257">
      <c r="A257" s="34"/>
      <c r="B257" s="21"/>
      <c r="C257" s="21"/>
    </row>
    <row r="258">
      <c r="A258" s="34"/>
      <c r="B258" s="21"/>
      <c r="C258" s="21"/>
    </row>
    <row r="259">
      <c r="A259" s="34"/>
      <c r="B259" s="21"/>
      <c r="C259" s="21"/>
    </row>
    <row r="260">
      <c r="A260" s="34"/>
      <c r="B260" s="21"/>
      <c r="C260" s="21"/>
    </row>
    <row r="261">
      <c r="A261" s="34"/>
      <c r="B261" s="21"/>
      <c r="C261" s="21"/>
    </row>
    <row r="262">
      <c r="A262" s="34"/>
      <c r="B262" s="21"/>
      <c r="C262" s="21"/>
    </row>
    <row r="263">
      <c r="A263" s="34"/>
      <c r="B263" s="21"/>
      <c r="C263" s="21"/>
    </row>
    <row r="264">
      <c r="A264" s="34"/>
      <c r="B264" s="21"/>
      <c r="C264" s="21"/>
    </row>
    <row r="265">
      <c r="A265" s="34"/>
      <c r="B265" s="21"/>
      <c r="C265" s="21"/>
    </row>
    <row r="266">
      <c r="A266" s="34"/>
      <c r="B266" s="21"/>
      <c r="C266" s="21"/>
    </row>
    <row r="267">
      <c r="A267" s="34"/>
      <c r="B267" s="21"/>
      <c r="C267" s="21"/>
    </row>
    <row r="268">
      <c r="A268" s="34"/>
      <c r="B268" s="21"/>
      <c r="C268" s="21"/>
    </row>
    <row r="269">
      <c r="A269" s="34"/>
      <c r="B269" s="21"/>
      <c r="C269" s="21"/>
    </row>
    <row r="270">
      <c r="A270" s="34"/>
      <c r="B270" s="21"/>
      <c r="C270" s="21"/>
    </row>
    <row r="271">
      <c r="A271" s="34"/>
      <c r="B271" s="21"/>
      <c r="C271" s="21"/>
    </row>
    <row r="272">
      <c r="A272" s="34"/>
      <c r="B272" s="21"/>
      <c r="C272" s="21"/>
    </row>
    <row r="273">
      <c r="A273" s="34"/>
      <c r="B273" s="21"/>
      <c r="C273" s="21"/>
    </row>
    <row r="274">
      <c r="A274" s="34"/>
      <c r="B274" s="21"/>
      <c r="C274" s="21"/>
    </row>
    <row r="275">
      <c r="A275" s="34"/>
      <c r="B275" s="21"/>
      <c r="C275" s="21"/>
    </row>
    <row r="276">
      <c r="A276" s="34"/>
      <c r="B276" s="21"/>
      <c r="C276" s="21"/>
    </row>
    <row r="277">
      <c r="A277" s="34"/>
      <c r="B277" s="21"/>
      <c r="C277" s="21"/>
    </row>
    <row r="278">
      <c r="A278" s="34"/>
      <c r="B278" s="21"/>
      <c r="C278" s="21"/>
    </row>
    <row r="279">
      <c r="A279" s="34"/>
      <c r="B279" s="21"/>
      <c r="C279" s="21"/>
    </row>
    <row r="280">
      <c r="A280" s="34"/>
      <c r="B280" s="21"/>
      <c r="C280" s="21"/>
    </row>
    <row r="281">
      <c r="A281" s="34"/>
      <c r="B281" s="21"/>
      <c r="C281" s="21"/>
    </row>
    <row r="282">
      <c r="A282" s="34"/>
      <c r="B282" s="21"/>
      <c r="C282" s="21"/>
    </row>
    <row r="283">
      <c r="A283" s="34"/>
      <c r="B283" s="21"/>
      <c r="C283" s="21"/>
    </row>
    <row r="284">
      <c r="A284" s="34"/>
      <c r="B284" s="21"/>
      <c r="C284" s="21"/>
    </row>
    <row r="285">
      <c r="A285" s="34"/>
      <c r="B285" s="21"/>
      <c r="C285" s="21"/>
    </row>
    <row r="286">
      <c r="A286" s="34"/>
      <c r="B286" s="21"/>
      <c r="C286" s="21"/>
    </row>
    <row r="287">
      <c r="A287" s="34"/>
      <c r="B287" s="21"/>
      <c r="C287" s="21"/>
    </row>
    <row r="288">
      <c r="A288" s="34"/>
      <c r="B288" s="21"/>
      <c r="C288" s="21"/>
    </row>
    <row r="289">
      <c r="A289" s="34"/>
      <c r="B289" s="21"/>
      <c r="C289" s="21"/>
    </row>
    <row r="290">
      <c r="A290" s="34"/>
      <c r="B290" s="21"/>
      <c r="C290" s="21"/>
    </row>
    <row r="291">
      <c r="A291" s="34"/>
      <c r="B291" s="21"/>
      <c r="C291" s="21"/>
    </row>
    <row r="292">
      <c r="A292" s="34"/>
      <c r="B292" s="21"/>
      <c r="C292" s="21"/>
    </row>
    <row r="293">
      <c r="A293" s="34"/>
      <c r="B293" s="21"/>
      <c r="C293" s="21"/>
    </row>
    <row r="294">
      <c r="A294" s="34"/>
      <c r="B294" s="21"/>
      <c r="C294" s="21"/>
    </row>
    <row r="295">
      <c r="A295" s="34"/>
      <c r="B295" s="21"/>
      <c r="C295" s="21"/>
    </row>
    <row r="296">
      <c r="A296" s="34"/>
      <c r="B296" s="21"/>
      <c r="C296" s="21"/>
    </row>
    <row r="297">
      <c r="A297" s="34"/>
      <c r="B297" s="21"/>
      <c r="C297" s="21"/>
    </row>
    <row r="298">
      <c r="A298" s="34"/>
      <c r="B298" s="21"/>
      <c r="C298" s="21"/>
    </row>
    <row r="299">
      <c r="A299" s="34"/>
      <c r="B299" s="21"/>
      <c r="C299" s="21"/>
    </row>
    <row r="300">
      <c r="A300" s="34"/>
      <c r="B300" s="21"/>
      <c r="C300" s="21"/>
    </row>
    <row r="301">
      <c r="A301" s="34"/>
      <c r="B301" s="21"/>
      <c r="C301" s="21"/>
    </row>
    <row r="302">
      <c r="A302" s="34"/>
      <c r="B302" s="21"/>
      <c r="C302" s="21"/>
    </row>
    <row r="303">
      <c r="A303" s="34"/>
      <c r="B303" s="21"/>
      <c r="C303" s="21"/>
    </row>
    <row r="304">
      <c r="A304" s="34"/>
      <c r="B304" s="21"/>
      <c r="C304" s="21"/>
    </row>
    <row r="305">
      <c r="A305" s="34"/>
      <c r="B305" s="21"/>
      <c r="C305" s="21"/>
    </row>
    <row r="306">
      <c r="A306" s="34"/>
      <c r="B306" s="21"/>
      <c r="C306" s="21"/>
    </row>
    <row r="307">
      <c r="A307" s="34"/>
      <c r="B307" s="21"/>
      <c r="C307" s="21"/>
    </row>
    <row r="308">
      <c r="A308" s="34"/>
      <c r="B308" s="21"/>
      <c r="C308" s="21"/>
    </row>
    <row r="309">
      <c r="A309" s="34"/>
      <c r="B309" s="21"/>
      <c r="C309" s="21"/>
    </row>
    <row r="310">
      <c r="A310" s="34"/>
      <c r="B310" s="21"/>
      <c r="C310" s="21"/>
    </row>
    <row r="311">
      <c r="A311" s="34"/>
      <c r="B311" s="21"/>
      <c r="C311" s="21"/>
    </row>
    <row r="312">
      <c r="A312" s="34"/>
      <c r="B312" s="21"/>
      <c r="C312" s="21"/>
    </row>
    <row r="313">
      <c r="A313" s="34"/>
      <c r="B313" s="21"/>
      <c r="C313" s="21"/>
    </row>
    <row r="314">
      <c r="A314" s="34"/>
      <c r="B314" s="21"/>
      <c r="C314" s="21"/>
    </row>
    <row r="315">
      <c r="A315" s="34"/>
      <c r="B315" s="21"/>
      <c r="C315" s="21"/>
    </row>
    <row r="316">
      <c r="A316" s="34"/>
      <c r="B316" s="21"/>
      <c r="C316" s="21"/>
    </row>
    <row r="317">
      <c r="A317" s="34"/>
      <c r="B317" s="21"/>
      <c r="C317" s="21"/>
    </row>
    <row r="318">
      <c r="A318" s="34"/>
      <c r="B318" s="21"/>
      <c r="C318" s="21"/>
    </row>
    <row r="319">
      <c r="A319" s="34"/>
      <c r="B319" s="21"/>
      <c r="C319" s="21"/>
    </row>
    <row r="320">
      <c r="A320" s="34"/>
      <c r="B320" s="21"/>
      <c r="C320" s="21"/>
    </row>
    <row r="321">
      <c r="A321" s="34"/>
      <c r="B321" s="21"/>
      <c r="C321" s="21"/>
    </row>
    <row r="322">
      <c r="A322" s="34"/>
      <c r="B322" s="21"/>
      <c r="C322" s="21"/>
    </row>
    <row r="323">
      <c r="A323" s="34"/>
      <c r="B323" s="21"/>
      <c r="C323" s="21"/>
    </row>
    <row r="324">
      <c r="A324" s="34"/>
      <c r="B324" s="21"/>
      <c r="C324" s="21"/>
    </row>
    <row r="325">
      <c r="A325" s="34"/>
      <c r="B325" s="21"/>
      <c r="C325" s="21"/>
    </row>
    <row r="326">
      <c r="A326" s="34"/>
      <c r="B326" s="21"/>
      <c r="C326" s="21"/>
    </row>
    <row r="327">
      <c r="A327" s="34"/>
      <c r="B327" s="21"/>
      <c r="C327" s="21"/>
    </row>
    <row r="328">
      <c r="A328" s="34"/>
      <c r="B328" s="21"/>
      <c r="C328" s="21"/>
    </row>
    <row r="329">
      <c r="A329" s="34"/>
      <c r="B329" s="21"/>
      <c r="C329" s="21"/>
    </row>
    <row r="330">
      <c r="A330" s="34"/>
      <c r="B330" s="21"/>
      <c r="C330" s="21"/>
    </row>
    <row r="331">
      <c r="A331" s="34"/>
      <c r="B331" s="21"/>
      <c r="C331" s="21"/>
    </row>
    <row r="332">
      <c r="A332" s="34"/>
      <c r="B332" s="21"/>
      <c r="C332" s="21"/>
    </row>
    <row r="333">
      <c r="A333" s="34"/>
      <c r="B333" s="21"/>
      <c r="C333" s="21"/>
    </row>
    <row r="334">
      <c r="A334" s="34"/>
      <c r="B334" s="21"/>
      <c r="C334" s="21"/>
    </row>
    <row r="335">
      <c r="A335" s="34"/>
      <c r="B335" s="21"/>
      <c r="C335" s="21"/>
    </row>
    <row r="336">
      <c r="A336" s="34"/>
      <c r="B336" s="21"/>
      <c r="C336" s="21"/>
    </row>
    <row r="337">
      <c r="A337" s="34"/>
      <c r="B337" s="21"/>
      <c r="C337" s="21"/>
    </row>
    <row r="338">
      <c r="A338" s="34"/>
      <c r="B338" s="21"/>
      <c r="C338" s="21"/>
    </row>
    <row r="339">
      <c r="A339" s="34"/>
      <c r="B339" s="21"/>
      <c r="C339" s="21"/>
    </row>
    <row r="340">
      <c r="A340" s="34"/>
      <c r="B340" s="21"/>
      <c r="C340" s="21"/>
    </row>
    <row r="341">
      <c r="A341" s="34"/>
      <c r="B341" s="21"/>
      <c r="C341" s="21"/>
    </row>
    <row r="342">
      <c r="A342" s="34"/>
      <c r="B342" s="21"/>
      <c r="C342" s="21"/>
    </row>
    <row r="343">
      <c r="A343" s="34"/>
      <c r="B343" s="21"/>
      <c r="C343" s="21"/>
    </row>
    <row r="344">
      <c r="A344" s="34"/>
      <c r="B344" s="21"/>
      <c r="C344" s="21"/>
    </row>
    <row r="345">
      <c r="A345" s="34"/>
      <c r="B345" s="21"/>
      <c r="C345" s="21"/>
    </row>
    <row r="346">
      <c r="A346" s="34"/>
      <c r="B346" s="21"/>
      <c r="C346" s="21"/>
    </row>
    <row r="347">
      <c r="A347" s="34"/>
      <c r="B347" s="21"/>
      <c r="C347" s="21"/>
    </row>
    <row r="348">
      <c r="A348" s="34"/>
      <c r="B348" s="21"/>
      <c r="C348" s="21"/>
    </row>
    <row r="349">
      <c r="A349" s="34"/>
      <c r="B349" s="21"/>
      <c r="C349" s="21"/>
    </row>
    <row r="350">
      <c r="A350" s="34"/>
      <c r="B350" s="21"/>
      <c r="C350" s="21"/>
    </row>
    <row r="351">
      <c r="A351" s="34"/>
      <c r="B351" s="21"/>
      <c r="C351" s="21"/>
    </row>
    <row r="352">
      <c r="A352" s="34"/>
      <c r="B352" s="21"/>
      <c r="C352" s="21"/>
    </row>
    <row r="353">
      <c r="A353" s="34"/>
      <c r="B353" s="21"/>
      <c r="C353" s="21"/>
    </row>
    <row r="354">
      <c r="A354" s="34"/>
      <c r="B354" s="21"/>
      <c r="C354" s="21"/>
    </row>
    <row r="355">
      <c r="A355" s="34"/>
      <c r="B355" s="21"/>
      <c r="C355" s="21"/>
    </row>
    <row r="356">
      <c r="A356" s="34"/>
      <c r="B356" s="21"/>
      <c r="C356" s="21"/>
    </row>
    <row r="357">
      <c r="A357" s="34"/>
      <c r="B357" s="21"/>
      <c r="C357" s="21"/>
    </row>
    <row r="358">
      <c r="A358" s="34"/>
      <c r="B358" s="21"/>
      <c r="C358" s="21"/>
    </row>
    <row r="359">
      <c r="A359" s="34"/>
      <c r="B359" s="21"/>
      <c r="C359" s="21"/>
    </row>
    <row r="360">
      <c r="A360" s="34"/>
      <c r="B360" s="21"/>
      <c r="C360" s="21"/>
    </row>
    <row r="361">
      <c r="A361" s="34"/>
      <c r="B361" s="21"/>
      <c r="C361" s="21"/>
    </row>
    <row r="362">
      <c r="A362" s="34"/>
      <c r="B362" s="21"/>
      <c r="C362" s="21"/>
    </row>
    <row r="363">
      <c r="A363" s="34"/>
      <c r="B363" s="21"/>
      <c r="C363" s="21"/>
    </row>
    <row r="364">
      <c r="A364" s="34"/>
      <c r="B364" s="21"/>
      <c r="C364" s="21"/>
    </row>
    <row r="365">
      <c r="A365" s="34"/>
      <c r="B365" s="21"/>
      <c r="C365" s="21"/>
    </row>
    <row r="366">
      <c r="A366" s="34"/>
      <c r="B366" s="21"/>
      <c r="C366" s="21"/>
    </row>
    <row r="367">
      <c r="A367" s="34"/>
      <c r="B367" s="21"/>
      <c r="C367" s="21"/>
    </row>
    <row r="368">
      <c r="A368" s="34"/>
      <c r="B368" s="21"/>
      <c r="C368" s="21"/>
    </row>
    <row r="369">
      <c r="A369" s="34"/>
      <c r="B369" s="21"/>
      <c r="C369" s="21"/>
    </row>
    <row r="370">
      <c r="A370" s="34"/>
      <c r="B370" s="21"/>
      <c r="C370" s="21"/>
    </row>
    <row r="371">
      <c r="A371" s="34"/>
      <c r="B371" s="21"/>
      <c r="C371" s="21"/>
    </row>
    <row r="372">
      <c r="A372" s="34"/>
      <c r="B372" s="21"/>
      <c r="C372" s="21"/>
    </row>
    <row r="373">
      <c r="A373" s="34"/>
      <c r="B373" s="21"/>
      <c r="C373" s="21"/>
    </row>
    <row r="374">
      <c r="A374" s="34"/>
      <c r="B374" s="21"/>
      <c r="C374" s="21"/>
    </row>
    <row r="375">
      <c r="A375" s="34"/>
      <c r="B375" s="21"/>
      <c r="C375" s="21"/>
    </row>
    <row r="376">
      <c r="A376" s="34"/>
      <c r="B376" s="21"/>
      <c r="C376" s="21"/>
    </row>
    <row r="377">
      <c r="A377" s="34"/>
      <c r="B377" s="21"/>
      <c r="C377" s="21"/>
    </row>
    <row r="378">
      <c r="A378" s="34"/>
      <c r="B378" s="21"/>
      <c r="C378" s="21"/>
    </row>
    <row r="379">
      <c r="A379" s="34"/>
      <c r="B379" s="21"/>
      <c r="C379" s="21"/>
    </row>
    <row r="380">
      <c r="A380" s="34"/>
      <c r="B380" s="21"/>
      <c r="C380" s="21"/>
    </row>
    <row r="381">
      <c r="A381" s="34"/>
      <c r="B381" s="21"/>
      <c r="C381" s="21"/>
    </row>
    <row r="382">
      <c r="A382" s="34"/>
      <c r="B382" s="21"/>
      <c r="C382" s="21"/>
    </row>
    <row r="383">
      <c r="A383" s="34"/>
      <c r="B383" s="21"/>
      <c r="C383" s="21"/>
    </row>
    <row r="384">
      <c r="A384" s="34"/>
      <c r="B384" s="21"/>
      <c r="C384" s="21"/>
    </row>
    <row r="385">
      <c r="A385" s="34"/>
      <c r="B385" s="21"/>
      <c r="C385" s="21"/>
    </row>
    <row r="386">
      <c r="A386" s="34"/>
      <c r="B386" s="21"/>
      <c r="C386" s="21"/>
    </row>
    <row r="387">
      <c r="A387" s="34"/>
      <c r="B387" s="21"/>
      <c r="C387" s="21"/>
    </row>
    <row r="388">
      <c r="A388" s="34"/>
      <c r="B388" s="21"/>
      <c r="C388" s="21"/>
    </row>
    <row r="389">
      <c r="A389" s="34"/>
      <c r="B389" s="21"/>
      <c r="C389" s="21"/>
    </row>
    <row r="390">
      <c r="A390" s="34"/>
      <c r="B390" s="21"/>
      <c r="C390" s="21"/>
    </row>
    <row r="391">
      <c r="A391" s="34"/>
      <c r="B391" s="21"/>
      <c r="C391" s="21"/>
    </row>
    <row r="392">
      <c r="A392" s="34"/>
      <c r="B392" s="21"/>
      <c r="C392" s="21"/>
    </row>
    <row r="393">
      <c r="A393" s="34"/>
      <c r="B393" s="21"/>
      <c r="C393" s="21"/>
    </row>
    <row r="394">
      <c r="A394" s="34"/>
      <c r="B394" s="21"/>
      <c r="C394" s="21"/>
    </row>
    <row r="395">
      <c r="A395" s="34"/>
      <c r="B395" s="21"/>
      <c r="C395" s="21"/>
    </row>
    <row r="396">
      <c r="A396" s="34"/>
      <c r="B396" s="21"/>
      <c r="C396" s="21"/>
    </row>
    <row r="397">
      <c r="A397" s="34"/>
      <c r="B397" s="21"/>
      <c r="C397" s="21"/>
    </row>
    <row r="398">
      <c r="A398" s="34"/>
      <c r="B398" s="21"/>
      <c r="C398" s="21"/>
    </row>
    <row r="399">
      <c r="A399" s="34"/>
      <c r="B399" s="21"/>
      <c r="C399" s="21"/>
    </row>
    <row r="400">
      <c r="A400" s="34"/>
      <c r="B400" s="21"/>
      <c r="C400" s="21"/>
    </row>
    <row r="401">
      <c r="A401" s="34"/>
      <c r="B401" s="21"/>
      <c r="C401" s="21"/>
    </row>
    <row r="402">
      <c r="A402" s="34"/>
      <c r="B402" s="21"/>
      <c r="C402" s="21"/>
    </row>
    <row r="403">
      <c r="A403" s="34"/>
      <c r="B403" s="21"/>
      <c r="C403" s="21"/>
    </row>
    <row r="404">
      <c r="A404" s="34"/>
      <c r="B404" s="21"/>
      <c r="C404" s="21"/>
    </row>
    <row r="405">
      <c r="A405" s="34"/>
      <c r="B405" s="21"/>
      <c r="C405" s="21"/>
    </row>
    <row r="406">
      <c r="A406" s="34"/>
      <c r="B406" s="21"/>
      <c r="C406" s="21"/>
    </row>
    <row r="407">
      <c r="A407" s="34"/>
      <c r="B407" s="21"/>
      <c r="C407" s="21"/>
    </row>
    <row r="408">
      <c r="A408" s="34"/>
      <c r="B408" s="21"/>
      <c r="C408" s="21"/>
    </row>
    <row r="409">
      <c r="A409" s="34"/>
      <c r="B409" s="21"/>
      <c r="C409" s="21"/>
    </row>
    <row r="410">
      <c r="A410" s="34"/>
      <c r="B410" s="21"/>
      <c r="C410" s="21"/>
    </row>
    <row r="411">
      <c r="A411" s="34"/>
      <c r="B411" s="21"/>
      <c r="C411" s="21"/>
    </row>
    <row r="412">
      <c r="A412" s="34"/>
      <c r="B412" s="21"/>
      <c r="C412" s="21"/>
    </row>
    <row r="413">
      <c r="A413" s="34"/>
      <c r="B413" s="21"/>
      <c r="C413" s="21"/>
    </row>
    <row r="414">
      <c r="A414" s="34"/>
      <c r="B414" s="21"/>
      <c r="C414" s="21"/>
    </row>
    <row r="415">
      <c r="A415" s="34"/>
      <c r="B415" s="21"/>
      <c r="C415" s="21"/>
    </row>
    <row r="416">
      <c r="A416" s="34"/>
      <c r="B416" s="21"/>
      <c r="C416" s="21"/>
    </row>
    <row r="417">
      <c r="A417" s="34"/>
      <c r="B417" s="21"/>
      <c r="C417" s="21"/>
    </row>
    <row r="418">
      <c r="A418" s="34"/>
      <c r="B418" s="21"/>
      <c r="C418" s="21"/>
    </row>
    <row r="419">
      <c r="A419" s="34"/>
      <c r="B419" s="21"/>
      <c r="C419" s="21"/>
    </row>
    <row r="420">
      <c r="A420" s="34"/>
      <c r="B420" s="21"/>
      <c r="C420" s="21"/>
    </row>
    <row r="421">
      <c r="A421" s="34"/>
      <c r="B421" s="21"/>
      <c r="C421" s="21"/>
    </row>
    <row r="422">
      <c r="A422" s="34"/>
      <c r="B422" s="21"/>
      <c r="C422" s="21"/>
    </row>
    <row r="423">
      <c r="A423" s="34"/>
      <c r="B423" s="21"/>
      <c r="C423" s="21"/>
    </row>
    <row r="424">
      <c r="A424" s="34"/>
      <c r="B424" s="21"/>
      <c r="C424" s="21"/>
    </row>
    <row r="425">
      <c r="A425" s="34"/>
      <c r="B425" s="21"/>
      <c r="C425" s="21"/>
    </row>
    <row r="426">
      <c r="A426" s="34"/>
      <c r="B426" s="21"/>
      <c r="C426" s="21"/>
    </row>
    <row r="427">
      <c r="A427" s="34"/>
      <c r="B427" s="21"/>
      <c r="C427" s="21"/>
    </row>
    <row r="428">
      <c r="A428" s="34"/>
      <c r="B428" s="21"/>
      <c r="C428" s="21"/>
    </row>
    <row r="429">
      <c r="A429" s="34"/>
      <c r="B429" s="21"/>
      <c r="C429" s="21"/>
    </row>
    <row r="430">
      <c r="A430" s="34"/>
      <c r="B430" s="21"/>
      <c r="C430" s="21"/>
    </row>
    <row r="431">
      <c r="A431" s="34"/>
      <c r="B431" s="21"/>
      <c r="C431" s="21"/>
    </row>
    <row r="432">
      <c r="A432" s="34"/>
      <c r="B432" s="21"/>
      <c r="C432" s="21"/>
    </row>
    <row r="433">
      <c r="A433" s="34"/>
      <c r="B433" s="21"/>
      <c r="C433" s="21"/>
    </row>
    <row r="434">
      <c r="A434" s="34"/>
      <c r="B434" s="21"/>
      <c r="C434" s="21"/>
    </row>
    <row r="435">
      <c r="A435" s="34"/>
      <c r="B435" s="21"/>
      <c r="C435" s="21"/>
    </row>
    <row r="436">
      <c r="A436" s="34"/>
      <c r="B436" s="21"/>
      <c r="C436" s="21"/>
    </row>
    <row r="437">
      <c r="A437" s="34"/>
      <c r="B437" s="21"/>
      <c r="C437" s="21"/>
    </row>
    <row r="438">
      <c r="A438" s="34"/>
      <c r="B438" s="21"/>
      <c r="C438" s="21"/>
    </row>
    <row r="439">
      <c r="A439" s="34"/>
      <c r="B439" s="21"/>
      <c r="C439" s="21"/>
    </row>
    <row r="440">
      <c r="A440" s="34"/>
      <c r="B440" s="21"/>
      <c r="C440" s="21"/>
    </row>
    <row r="441">
      <c r="A441" s="34"/>
      <c r="B441" s="21"/>
      <c r="C441" s="21"/>
    </row>
    <row r="442">
      <c r="A442" s="34"/>
      <c r="B442" s="21"/>
      <c r="C442" s="21"/>
    </row>
    <row r="443">
      <c r="A443" s="34"/>
      <c r="B443" s="21"/>
      <c r="C443" s="21"/>
    </row>
    <row r="444">
      <c r="A444" s="34"/>
      <c r="B444" s="21"/>
      <c r="C444" s="21"/>
    </row>
    <row r="445">
      <c r="A445" s="34"/>
      <c r="B445" s="21"/>
      <c r="C445" s="21"/>
    </row>
    <row r="446">
      <c r="A446" s="34"/>
      <c r="B446" s="21"/>
      <c r="C446" s="21"/>
    </row>
    <row r="447">
      <c r="A447" s="34"/>
      <c r="B447" s="21"/>
      <c r="C447" s="21"/>
    </row>
    <row r="448">
      <c r="A448" s="34"/>
      <c r="B448" s="21"/>
      <c r="C448" s="21"/>
    </row>
    <row r="449">
      <c r="A449" s="34"/>
      <c r="B449" s="21"/>
      <c r="C449" s="21"/>
    </row>
    <row r="450">
      <c r="A450" s="34"/>
      <c r="B450" s="21"/>
      <c r="C450" s="21"/>
    </row>
    <row r="451">
      <c r="A451" s="34"/>
      <c r="B451" s="21"/>
      <c r="C451" s="21"/>
    </row>
    <row r="452">
      <c r="A452" s="34"/>
      <c r="B452" s="21"/>
      <c r="C452" s="21"/>
    </row>
    <row r="453">
      <c r="A453" s="34"/>
      <c r="B453" s="21"/>
      <c r="C453" s="21"/>
    </row>
    <row r="454">
      <c r="A454" s="34"/>
      <c r="B454" s="21"/>
      <c r="C454" s="21"/>
    </row>
    <row r="455">
      <c r="A455" s="34"/>
      <c r="B455" s="21"/>
      <c r="C455" s="21"/>
    </row>
    <row r="456">
      <c r="A456" s="34"/>
      <c r="B456" s="21"/>
      <c r="C456" s="21"/>
    </row>
    <row r="457">
      <c r="A457" s="34"/>
      <c r="B457" s="21"/>
      <c r="C457" s="21"/>
    </row>
    <row r="458">
      <c r="A458" s="34"/>
      <c r="B458" s="21"/>
      <c r="C458" s="21"/>
    </row>
    <row r="459">
      <c r="A459" s="34"/>
      <c r="B459" s="21"/>
      <c r="C459" s="21"/>
    </row>
    <row r="460">
      <c r="A460" s="34"/>
      <c r="B460" s="21"/>
      <c r="C460" s="21"/>
    </row>
    <row r="461">
      <c r="A461" s="34"/>
      <c r="B461" s="21"/>
      <c r="C461" s="21"/>
    </row>
    <row r="462">
      <c r="A462" s="34"/>
      <c r="B462" s="21"/>
      <c r="C462" s="21"/>
    </row>
    <row r="463">
      <c r="A463" s="34"/>
      <c r="B463" s="21"/>
      <c r="C463" s="21"/>
    </row>
    <row r="464">
      <c r="A464" s="34"/>
      <c r="B464" s="21"/>
      <c r="C464" s="21"/>
    </row>
    <row r="465">
      <c r="A465" s="34"/>
      <c r="B465" s="21"/>
      <c r="C465" s="21"/>
    </row>
    <row r="466">
      <c r="A466" s="34"/>
      <c r="B466" s="21"/>
      <c r="C466" s="21"/>
    </row>
    <row r="467">
      <c r="A467" s="34"/>
      <c r="B467" s="21"/>
      <c r="C467" s="21"/>
    </row>
    <row r="468">
      <c r="A468" s="34"/>
      <c r="B468" s="21"/>
      <c r="C468" s="21"/>
    </row>
    <row r="469">
      <c r="A469" s="34"/>
      <c r="B469" s="21"/>
      <c r="C469" s="21"/>
    </row>
    <row r="470">
      <c r="A470" s="34"/>
      <c r="B470" s="21"/>
      <c r="C470" s="21"/>
    </row>
    <row r="471">
      <c r="A471" s="34"/>
      <c r="B471" s="21"/>
      <c r="C471" s="21"/>
    </row>
    <row r="472">
      <c r="A472" s="34"/>
      <c r="B472" s="21"/>
      <c r="C472" s="21"/>
    </row>
    <row r="473">
      <c r="A473" s="34"/>
      <c r="B473" s="21"/>
      <c r="C473" s="21"/>
    </row>
    <row r="474">
      <c r="A474" s="34"/>
      <c r="B474" s="21"/>
      <c r="C474" s="21"/>
    </row>
    <row r="475">
      <c r="A475" s="34"/>
      <c r="B475" s="21"/>
      <c r="C475" s="21"/>
    </row>
    <row r="476">
      <c r="A476" s="34"/>
      <c r="B476" s="21"/>
      <c r="C476" s="21"/>
    </row>
    <row r="477">
      <c r="A477" s="34"/>
      <c r="B477" s="21"/>
      <c r="C477" s="21"/>
    </row>
    <row r="478">
      <c r="A478" s="34"/>
      <c r="B478" s="21"/>
      <c r="C478" s="21"/>
    </row>
    <row r="479">
      <c r="A479" s="34"/>
      <c r="B479" s="21"/>
      <c r="C479" s="21"/>
    </row>
    <row r="480">
      <c r="A480" s="34"/>
      <c r="B480" s="21"/>
      <c r="C480" s="21"/>
    </row>
    <row r="481">
      <c r="A481" s="34"/>
      <c r="B481" s="21"/>
      <c r="C481" s="21"/>
    </row>
    <row r="482">
      <c r="A482" s="34"/>
      <c r="B482" s="21"/>
      <c r="C482" s="21"/>
    </row>
    <row r="483">
      <c r="A483" s="34"/>
      <c r="B483" s="21"/>
      <c r="C483" s="21"/>
    </row>
    <row r="484">
      <c r="A484" s="34"/>
      <c r="B484" s="21"/>
      <c r="C484" s="21"/>
    </row>
    <row r="485">
      <c r="A485" s="34"/>
      <c r="B485" s="21"/>
      <c r="C485" s="21"/>
    </row>
    <row r="486">
      <c r="A486" s="34"/>
      <c r="B486" s="21"/>
      <c r="C486" s="21"/>
    </row>
    <row r="487">
      <c r="A487" s="34"/>
      <c r="B487" s="21"/>
      <c r="C487" s="21"/>
    </row>
    <row r="488">
      <c r="A488" s="34"/>
      <c r="B488" s="21"/>
      <c r="C488" s="21"/>
    </row>
    <row r="489">
      <c r="A489" s="34"/>
      <c r="B489" s="21"/>
      <c r="C489" s="21"/>
    </row>
    <row r="490">
      <c r="A490" s="34"/>
      <c r="B490" s="21"/>
      <c r="C490" s="21"/>
    </row>
    <row r="491">
      <c r="A491" s="34"/>
      <c r="B491" s="21"/>
      <c r="C491" s="21"/>
    </row>
    <row r="492">
      <c r="A492" s="34"/>
      <c r="B492" s="21"/>
      <c r="C492" s="21"/>
    </row>
    <row r="493">
      <c r="A493" s="34"/>
      <c r="B493" s="21"/>
      <c r="C493" s="21"/>
    </row>
    <row r="494">
      <c r="A494" s="34"/>
      <c r="B494" s="21"/>
      <c r="C494" s="21"/>
    </row>
    <row r="495">
      <c r="A495" s="34"/>
      <c r="B495" s="21"/>
      <c r="C495" s="21"/>
    </row>
    <row r="496">
      <c r="A496" s="34"/>
      <c r="B496" s="21"/>
      <c r="C496" s="21"/>
    </row>
    <row r="497">
      <c r="A497" s="34"/>
      <c r="B497" s="21"/>
      <c r="C497" s="21"/>
    </row>
    <row r="498">
      <c r="A498" s="34"/>
      <c r="B498" s="21"/>
      <c r="C498" s="21"/>
    </row>
    <row r="499">
      <c r="A499" s="34"/>
      <c r="B499" s="21"/>
      <c r="C499" s="21"/>
    </row>
    <row r="500">
      <c r="A500" s="34"/>
      <c r="B500" s="21"/>
      <c r="C500" s="21"/>
    </row>
    <row r="501">
      <c r="A501" s="34"/>
      <c r="B501" s="21"/>
      <c r="C501" s="21"/>
    </row>
    <row r="502">
      <c r="A502" s="34"/>
      <c r="B502" s="21"/>
      <c r="C502" s="21"/>
    </row>
    <row r="503">
      <c r="A503" s="34"/>
      <c r="B503" s="21"/>
      <c r="C503" s="21"/>
    </row>
    <row r="504">
      <c r="A504" s="34"/>
      <c r="B504" s="21"/>
      <c r="C504" s="21"/>
    </row>
    <row r="505">
      <c r="A505" s="34"/>
      <c r="B505" s="21"/>
      <c r="C505" s="21"/>
    </row>
    <row r="506">
      <c r="A506" s="34"/>
      <c r="B506" s="21"/>
      <c r="C506" s="21"/>
    </row>
    <row r="507">
      <c r="A507" s="34"/>
      <c r="B507" s="21"/>
      <c r="C507" s="21"/>
    </row>
    <row r="508">
      <c r="A508" s="34"/>
      <c r="B508" s="21"/>
      <c r="C508" s="21"/>
    </row>
    <row r="509">
      <c r="A509" s="34"/>
      <c r="B509" s="21"/>
      <c r="C509" s="21"/>
    </row>
    <row r="510">
      <c r="A510" s="34"/>
      <c r="B510" s="21"/>
      <c r="C510" s="21"/>
    </row>
    <row r="511">
      <c r="A511" s="34"/>
      <c r="B511" s="21"/>
      <c r="C511" s="21"/>
    </row>
    <row r="512">
      <c r="A512" s="34"/>
      <c r="B512" s="21"/>
      <c r="C512" s="21"/>
    </row>
    <row r="513">
      <c r="A513" s="34"/>
      <c r="B513" s="21"/>
      <c r="C513" s="21"/>
    </row>
    <row r="514">
      <c r="A514" s="34"/>
      <c r="B514" s="21"/>
      <c r="C514" s="21"/>
    </row>
    <row r="515">
      <c r="A515" s="34"/>
      <c r="B515" s="21"/>
      <c r="C515" s="21"/>
    </row>
    <row r="516">
      <c r="A516" s="34"/>
      <c r="B516" s="21"/>
      <c r="C516" s="21"/>
    </row>
    <row r="517">
      <c r="A517" s="34"/>
      <c r="B517" s="21"/>
      <c r="C517" s="21"/>
    </row>
    <row r="518">
      <c r="A518" s="34"/>
      <c r="B518" s="21"/>
      <c r="C518" s="21"/>
    </row>
    <row r="519">
      <c r="A519" s="34"/>
      <c r="B519" s="21"/>
      <c r="C519" s="21"/>
    </row>
    <row r="520">
      <c r="A520" s="34"/>
      <c r="B520" s="21"/>
      <c r="C520" s="21"/>
    </row>
    <row r="521">
      <c r="A521" s="34"/>
      <c r="B521" s="21"/>
      <c r="C521" s="21"/>
    </row>
    <row r="522">
      <c r="A522" s="34"/>
      <c r="B522" s="21"/>
      <c r="C522" s="21"/>
    </row>
    <row r="523">
      <c r="A523" s="34"/>
      <c r="B523" s="21"/>
      <c r="C523" s="21"/>
    </row>
    <row r="524">
      <c r="A524" s="34"/>
      <c r="B524" s="21"/>
      <c r="C524" s="21"/>
    </row>
    <row r="525">
      <c r="A525" s="34"/>
      <c r="B525" s="21"/>
      <c r="C525" s="21"/>
    </row>
    <row r="526">
      <c r="A526" s="34"/>
      <c r="B526" s="21"/>
      <c r="C526" s="21"/>
    </row>
    <row r="527">
      <c r="A527" s="34"/>
      <c r="B527" s="21"/>
      <c r="C527" s="21"/>
    </row>
    <row r="528">
      <c r="A528" s="34"/>
      <c r="B528" s="21"/>
      <c r="C528" s="21"/>
    </row>
    <row r="529">
      <c r="A529" s="34"/>
      <c r="B529" s="21"/>
      <c r="C529" s="21"/>
    </row>
    <row r="530">
      <c r="A530" s="34"/>
      <c r="B530" s="21"/>
      <c r="C530" s="21"/>
    </row>
    <row r="531">
      <c r="A531" s="34"/>
      <c r="B531" s="21"/>
      <c r="C531" s="21"/>
    </row>
    <row r="532">
      <c r="A532" s="34"/>
      <c r="B532" s="21"/>
      <c r="C532" s="21"/>
    </row>
    <row r="533">
      <c r="A533" s="34"/>
      <c r="B533" s="21"/>
      <c r="C533" s="21"/>
    </row>
    <row r="534">
      <c r="A534" s="34"/>
      <c r="B534" s="21"/>
      <c r="C534" s="21"/>
    </row>
    <row r="535">
      <c r="A535" s="34"/>
      <c r="B535" s="21"/>
      <c r="C535" s="21"/>
    </row>
    <row r="536">
      <c r="A536" s="34"/>
      <c r="B536" s="21"/>
      <c r="C536" s="21"/>
    </row>
    <row r="537">
      <c r="A537" s="34"/>
      <c r="B537" s="21"/>
      <c r="C537" s="21"/>
    </row>
    <row r="538">
      <c r="A538" s="34"/>
      <c r="B538" s="21"/>
      <c r="C538" s="21"/>
    </row>
    <row r="539">
      <c r="A539" s="34"/>
      <c r="B539" s="21"/>
      <c r="C539" s="21"/>
    </row>
    <row r="540">
      <c r="A540" s="34"/>
      <c r="B540" s="21"/>
      <c r="C540" s="21"/>
    </row>
    <row r="541">
      <c r="A541" s="34"/>
      <c r="B541" s="21"/>
      <c r="C541" s="21"/>
    </row>
    <row r="542">
      <c r="A542" s="34"/>
      <c r="B542" s="21"/>
      <c r="C542" s="21"/>
    </row>
    <row r="543">
      <c r="A543" s="34"/>
      <c r="B543" s="21"/>
      <c r="C543" s="21"/>
    </row>
    <row r="544">
      <c r="A544" s="34"/>
      <c r="B544" s="21"/>
      <c r="C544" s="21"/>
    </row>
    <row r="545">
      <c r="A545" s="34"/>
      <c r="B545" s="21"/>
      <c r="C545" s="21"/>
    </row>
    <row r="546">
      <c r="A546" s="34"/>
      <c r="B546" s="21"/>
      <c r="C546" s="21"/>
    </row>
    <row r="547">
      <c r="A547" s="34"/>
      <c r="B547" s="21"/>
      <c r="C547" s="21"/>
    </row>
    <row r="548">
      <c r="A548" s="34"/>
      <c r="B548" s="21"/>
      <c r="C548" s="21"/>
    </row>
    <row r="549">
      <c r="A549" s="34"/>
      <c r="B549" s="21"/>
      <c r="C549" s="21"/>
    </row>
    <row r="550">
      <c r="A550" s="34"/>
      <c r="B550" s="21"/>
      <c r="C550" s="21"/>
    </row>
    <row r="551">
      <c r="A551" s="34"/>
      <c r="B551" s="21"/>
      <c r="C551" s="21"/>
    </row>
    <row r="552">
      <c r="A552" s="34"/>
      <c r="B552" s="21"/>
      <c r="C552" s="21"/>
    </row>
    <row r="553">
      <c r="A553" s="34"/>
      <c r="B553" s="21"/>
      <c r="C553" s="21"/>
    </row>
    <row r="554">
      <c r="A554" s="34"/>
      <c r="B554" s="21"/>
      <c r="C554" s="21"/>
    </row>
    <row r="555">
      <c r="A555" s="34"/>
      <c r="B555" s="21"/>
      <c r="C555" s="21"/>
    </row>
    <row r="556">
      <c r="A556" s="34"/>
      <c r="B556" s="21"/>
      <c r="C556" s="21"/>
    </row>
    <row r="557">
      <c r="A557" s="34"/>
      <c r="B557" s="21"/>
      <c r="C557" s="21"/>
    </row>
    <row r="558">
      <c r="A558" s="34"/>
      <c r="B558" s="21"/>
      <c r="C558" s="21"/>
    </row>
    <row r="559">
      <c r="A559" s="34"/>
      <c r="B559" s="21"/>
      <c r="C559" s="21"/>
    </row>
    <row r="560">
      <c r="A560" s="34"/>
      <c r="B560" s="21"/>
      <c r="C560" s="21"/>
    </row>
    <row r="561">
      <c r="A561" s="34"/>
      <c r="B561" s="21"/>
      <c r="C561" s="21"/>
    </row>
    <row r="562">
      <c r="A562" s="34"/>
      <c r="B562" s="21"/>
      <c r="C562" s="21"/>
    </row>
    <row r="563">
      <c r="A563" s="34"/>
      <c r="B563" s="21"/>
      <c r="C563" s="21"/>
    </row>
    <row r="564">
      <c r="A564" s="34"/>
      <c r="B564" s="21"/>
      <c r="C564" s="21"/>
    </row>
    <row r="565">
      <c r="A565" s="34"/>
      <c r="B565" s="21"/>
      <c r="C565" s="21"/>
    </row>
    <row r="566">
      <c r="A566" s="34"/>
      <c r="B566" s="21"/>
      <c r="C566" s="21"/>
    </row>
    <row r="567">
      <c r="A567" s="34"/>
      <c r="B567" s="21"/>
      <c r="C567" s="21"/>
    </row>
    <row r="568">
      <c r="A568" s="34"/>
      <c r="B568" s="21"/>
      <c r="C568" s="21"/>
    </row>
    <row r="569">
      <c r="A569" s="34"/>
      <c r="B569" s="21"/>
      <c r="C569" s="21"/>
    </row>
    <row r="570">
      <c r="A570" s="34"/>
      <c r="B570" s="21"/>
      <c r="C570" s="21"/>
    </row>
    <row r="571">
      <c r="A571" s="34"/>
      <c r="B571" s="21"/>
      <c r="C571" s="21"/>
    </row>
    <row r="572">
      <c r="A572" s="34"/>
      <c r="B572" s="21"/>
      <c r="C572" s="21"/>
    </row>
    <row r="573">
      <c r="A573" s="34"/>
      <c r="B573" s="21"/>
      <c r="C573" s="21"/>
    </row>
    <row r="574">
      <c r="A574" s="34"/>
      <c r="B574" s="21"/>
      <c r="C574" s="21"/>
    </row>
    <row r="575">
      <c r="A575" s="34"/>
      <c r="B575" s="21"/>
      <c r="C575" s="21"/>
    </row>
    <row r="576">
      <c r="A576" s="34"/>
      <c r="B576" s="21"/>
      <c r="C576" s="21"/>
    </row>
    <row r="577">
      <c r="A577" s="34"/>
      <c r="B577" s="21"/>
      <c r="C577" s="21"/>
    </row>
    <row r="578">
      <c r="A578" s="34"/>
      <c r="B578" s="21"/>
      <c r="C578" s="21"/>
    </row>
    <row r="579">
      <c r="A579" s="34"/>
      <c r="B579" s="21"/>
      <c r="C579" s="21"/>
    </row>
    <row r="580">
      <c r="A580" s="34"/>
      <c r="B580" s="21"/>
      <c r="C580" s="21"/>
    </row>
    <row r="581">
      <c r="A581" s="34"/>
      <c r="B581" s="21"/>
      <c r="C581" s="21"/>
    </row>
    <row r="582">
      <c r="A582" s="34"/>
      <c r="B582" s="21"/>
      <c r="C582" s="21"/>
    </row>
    <row r="583">
      <c r="A583" s="34"/>
      <c r="B583" s="21"/>
      <c r="C583" s="21"/>
    </row>
    <row r="584">
      <c r="A584" s="34"/>
      <c r="B584" s="21"/>
      <c r="C584" s="21"/>
    </row>
    <row r="585">
      <c r="A585" s="34"/>
      <c r="B585" s="21"/>
      <c r="C585" s="21"/>
    </row>
    <row r="586">
      <c r="A586" s="34"/>
      <c r="B586" s="21"/>
      <c r="C586" s="21"/>
    </row>
    <row r="587">
      <c r="A587" s="34"/>
      <c r="B587" s="21"/>
      <c r="C587" s="21"/>
    </row>
    <row r="588">
      <c r="A588" s="34"/>
      <c r="B588" s="21"/>
      <c r="C588" s="21"/>
    </row>
    <row r="589">
      <c r="A589" s="34"/>
      <c r="B589" s="21"/>
      <c r="C589" s="21"/>
    </row>
    <row r="590">
      <c r="A590" s="34"/>
      <c r="B590" s="21"/>
      <c r="C590" s="21"/>
    </row>
    <row r="591">
      <c r="A591" s="34"/>
      <c r="B591" s="21"/>
      <c r="C591" s="21"/>
    </row>
    <row r="592">
      <c r="A592" s="34"/>
      <c r="B592" s="21"/>
      <c r="C592" s="21"/>
    </row>
    <row r="593">
      <c r="A593" s="34"/>
      <c r="B593" s="21"/>
      <c r="C593" s="21"/>
    </row>
    <row r="594">
      <c r="A594" s="34"/>
      <c r="B594" s="21"/>
      <c r="C594" s="21"/>
    </row>
    <row r="595">
      <c r="A595" s="34"/>
      <c r="B595" s="21"/>
      <c r="C595" s="21"/>
    </row>
    <row r="596">
      <c r="A596" s="34"/>
      <c r="B596" s="21"/>
      <c r="C596" s="21"/>
    </row>
    <row r="597">
      <c r="A597" s="34"/>
      <c r="B597" s="21"/>
      <c r="C597" s="21"/>
    </row>
    <row r="598">
      <c r="A598" s="34"/>
      <c r="B598" s="21"/>
      <c r="C598" s="21"/>
    </row>
    <row r="599">
      <c r="A599" s="34"/>
      <c r="B599" s="21"/>
      <c r="C599" s="21"/>
    </row>
    <row r="600">
      <c r="A600" s="34"/>
      <c r="B600" s="21"/>
      <c r="C600" s="21"/>
    </row>
    <row r="601">
      <c r="A601" s="34"/>
      <c r="B601" s="21"/>
      <c r="C601" s="21"/>
    </row>
    <row r="602">
      <c r="A602" s="34"/>
      <c r="B602" s="21"/>
      <c r="C602" s="21"/>
    </row>
    <row r="603">
      <c r="A603" s="34"/>
      <c r="B603" s="21"/>
      <c r="C603" s="21"/>
    </row>
    <row r="604">
      <c r="A604" s="34"/>
      <c r="B604" s="21"/>
      <c r="C604" s="21"/>
    </row>
    <row r="605">
      <c r="A605" s="34"/>
      <c r="B605" s="21"/>
      <c r="C605" s="21"/>
    </row>
    <row r="606">
      <c r="A606" s="34"/>
      <c r="B606" s="21"/>
      <c r="C606" s="21"/>
    </row>
    <row r="607">
      <c r="A607" s="34"/>
      <c r="B607" s="21"/>
      <c r="C607" s="21"/>
    </row>
    <row r="608">
      <c r="A608" s="34"/>
      <c r="B608" s="21"/>
      <c r="C608" s="21"/>
    </row>
    <row r="609">
      <c r="A609" s="34"/>
      <c r="B609" s="21"/>
      <c r="C609" s="21"/>
    </row>
    <row r="610">
      <c r="A610" s="34"/>
      <c r="B610" s="21"/>
      <c r="C610" s="21"/>
    </row>
    <row r="611">
      <c r="A611" s="34"/>
      <c r="B611" s="21"/>
      <c r="C611" s="21"/>
    </row>
    <row r="612">
      <c r="A612" s="34"/>
      <c r="B612" s="21"/>
      <c r="C612" s="21"/>
    </row>
    <row r="613">
      <c r="A613" s="34"/>
      <c r="B613" s="21"/>
      <c r="C613" s="21"/>
    </row>
    <row r="614">
      <c r="A614" s="34"/>
      <c r="B614" s="21"/>
      <c r="C614" s="21"/>
    </row>
    <row r="615">
      <c r="A615" s="34"/>
      <c r="B615" s="21"/>
      <c r="C615" s="21"/>
    </row>
    <row r="616">
      <c r="A616" s="34"/>
      <c r="B616" s="21"/>
      <c r="C616" s="21"/>
    </row>
    <row r="617">
      <c r="A617" s="34"/>
      <c r="B617" s="21"/>
      <c r="C617" s="21"/>
    </row>
    <row r="618">
      <c r="A618" s="34"/>
      <c r="B618" s="21"/>
      <c r="C618" s="21"/>
    </row>
    <row r="619">
      <c r="A619" s="34"/>
      <c r="B619" s="21"/>
      <c r="C619" s="21"/>
    </row>
    <row r="620">
      <c r="A620" s="34"/>
      <c r="B620" s="21"/>
      <c r="C620" s="21"/>
    </row>
    <row r="621">
      <c r="A621" s="34"/>
      <c r="B621" s="21"/>
      <c r="C621" s="21"/>
    </row>
    <row r="622">
      <c r="A622" s="34"/>
      <c r="B622" s="21"/>
      <c r="C622" s="21"/>
    </row>
    <row r="623">
      <c r="A623" s="34"/>
      <c r="B623" s="21"/>
      <c r="C623" s="21"/>
    </row>
    <row r="624">
      <c r="A624" s="34"/>
      <c r="B624" s="21"/>
      <c r="C624" s="21"/>
    </row>
    <row r="625">
      <c r="A625" s="34"/>
      <c r="B625" s="21"/>
      <c r="C625" s="21"/>
    </row>
    <row r="626">
      <c r="A626" s="34"/>
      <c r="B626" s="21"/>
      <c r="C626" s="21"/>
    </row>
    <row r="627">
      <c r="A627" s="34"/>
      <c r="B627" s="21"/>
      <c r="C627" s="21"/>
    </row>
    <row r="628">
      <c r="A628" s="34"/>
      <c r="B628" s="21"/>
      <c r="C628" s="21"/>
    </row>
    <row r="629">
      <c r="A629" s="34"/>
      <c r="B629" s="21"/>
      <c r="C629" s="21"/>
    </row>
    <row r="630">
      <c r="A630" s="34"/>
      <c r="B630" s="21"/>
      <c r="C630" s="21"/>
    </row>
    <row r="631">
      <c r="A631" s="34"/>
      <c r="B631" s="21"/>
      <c r="C631" s="21"/>
    </row>
    <row r="632">
      <c r="A632" s="34"/>
      <c r="B632" s="21"/>
      <c r="C632" s="21"/>
    </row>
    <row r="633">
      <c r="A633" s="34"/>
      <c r="B633" s="21"/>
      <c r="C633" s="21"/>
    </row>
    <row r="634">
      <c r="A634" s="34"/>
      <c r="B634" s="21"/>
      <c r="C634" s="21"/>
    </row>
    <row r="635">
      <c r="A635" s="34"/>
      <c r="B635" s="21"/>
      <c r="C635" s="21"/>
    </row>
    <row r="636">
      <c r="A636" s="34"/>
      <c r="B636" s="21"/>
      <c r="C636" s="21"/>
    </row>
    <row r="637">
      <c r="A637" s="34"/>
      <c r="B637" s="21"/>
      <c r="C637" s="21"/>
    </row>
    <row r="638">
      <c r="A638" s="34"/>
      <c r="B638" s="21"/>
      <c r="C638" s="21"/>
    </row>
    <row r="639">
      <c r="A639" s="34"/>
      <c r="B639" s="21"/>
      <c r="C639" s="21"/>
    </row>
    <row r="640">
      <c r="A640" s="34"/>
      <c r="B640" s="21"/>
      <c r="C640" s="21"/>
    </row>
    <row r="641">
      <c r="A641" s="34"/>
      <c r="B641" s="21"/>
      <c r="C641" s="21"/>
    </row>
    <row r="642">
      <c r="A642" s="34"/>
      <c r="B642" s="21"/>
      <c r="C642" s="21"/>
    </row>
    <row r="643">
      <c r="A643" s="34"/>
      <c r="B643" s="21"/>
      <c r="C643" s="21"/>
    </row>
    <row r="644">
      <c r="A644" s="34"/>
      <c r="B644" s="21"/>
      <c r="C644" s="21"/>
    </row>
    <row r="645">
      <c r="A645" s="34"/>
      <c r="B645" s="21"/>
      <c r="C645" s="21"/>
    </row>
    <row r="646">
      <c r="A646" s="34"/>
      <c r="B646" s="21"/>
      <c r="C646" s="21"/>
    </row>
    <row r="647">
      <c r="A647" s="34"/>
      <c r="B647" s="21"/>
      <c r="C647" s="21"/>
    </row>
    <row r="648">
      <c r="A648" s="34"/>
      <c r="B648" s="21"/>
      <c r="C648" s="21"/>
    </row>
    <row r="649">
      <c r="A649" s="34"/>
      <c r="B649" s="21"/>
      <c r="C649" s="21"/>
    </row>
    <row r="650">
      <c r="A650" s="34"/>
      <c r="B650" s="21"/>
      <c r="C650" s="21"/>
    </row>
    <row r="651">
      <c r="A651" s="34"/>
      <c r="B651" s="21"/>
      <c r="C651" s="21"/>
    </row>
    <row r="652">
      <c r="A652" s="34"/>
      <c r="B652" s="21"/>
      <c r="C652" s="21"/>
    </row>
    <row r="653">
      <c r="A653" s="34"/>
      <c r="B653" s="21"/>
      <c r="C653" s="21"/>
    </row>
    <row r="654">
      <c r="A654" s="34"/>
      <c r="B654" s="21"/>
      <c r="C654" s="21"/>
    </row>
    <row r="655">
      <c r="A655" s="34"/>
      <c r="B655" s="21"/>
      <c r="C655" s="21"/>
    </row>
    <row r="656">
      <c r="A656" s="34"/>
      <c r="B656" s="21"/>
      <c r="C656" s="21"/>
    </row>
    <row r="657">
      <c r="A657" s="34"/>
      <c r="B657" s="21"/>
      <c r="C657" s="21"/>
    </row>
    <row r="658">
      <c r="A658" s="34"/>
      <c r="B658" s="21"/>
      <c r="C658" s="21"/>
    </row>
    <row r="659">
      <c r="A659" s="34"/>
      <c r="B659" s="21"/>
      <c r="C659" s="21"/>
    </row>
    <row r="660">
      <c r="A660" s="34"/>
      <c r="B660" s="21"/>
      <c r="C660" s="21"/>
    </row>
    <row r="661">
      <c r="A661" s="34"/>
      <c r="B661" s="21"/>
      <c r="C661" s="21"/>
    </row>
    <row r="662">
      <c r="A662" s="34"/>
      <c r="B662" s="21"/>
      <c r="C662" s="21"/>
    </row>
    <row r="663">
      <c r="A663" s="34"/>
      <c r="B663" s="21"/>
      <c r="C663" s="21"/>
    </row>
    <row r="664">
      <c r="A664" s="34"/>
      <c r="B664" s="21"/>
      <c r="C664" s="21"/>
    </row>
    <row r="665">
      <c r="A665" s="34"/>
      <c r="B665" s="21"/>
      <c r="C665" s="21"/>
    </row>
    <row r="666">
      <c r="A666" s="34"/>
      <c r="B666" s="21"/>
      <c r="C666" s="21"/>
    </row>
    <row r="667">
      <c r="A667" s="34"/>
      <c r="B667" s="21"/>
      <c r="C667" s="21"/>
    </row>
    <row r="668">
      <c r="A668" s="34"/>
      <c r="B668" s="21"/>
      <c r="C668" s="21"/>
    </row>
    <row r="669">
      <c r="A669" s="34"/>
      <c r="B669" s="21"/>
      <c r="C669" s="21"/>
    </row>
    <row r="670">
      <c r="A670" s="34"/>
      <c r="B670" s="21"/>
      <c r="C670" s="21"/>
    </row>
    <row r="671">
      <c r="A671" s="34"/>
      <c r="B671" s="21"/>
      <c r="C671" s="21"/>
    </row>
    <row r="672">
      <c r="A672" s="34"/>
      <c r="B672" s="21"/>
      <c r="C672" s="21"/>
    </row>
    <row r="673">
      <c r="A673" s="34"/>
      <c r="B673" s="21"/>
      <c r="C673" s="21"/>
    </row>
    <row r="674">
      <c r="A674" s="34"/>
      <c r="B674" s="21"/>
      <c r="C674" s="21"/>
    </row>
    <row r="675">
      <c r="A675" s="34"/>
      <c r="B675" s="21"/>
      <c r="C675" s="21"/>
    </row>
    <row r="676">
      <c r="A676" s="34"/>
      <c r="B676" s="21"/>
      <c r="C676" s="21"/>
    </row>
    <row r="677">
      <c r="A677" s="34"/>
      <c r="B677" s="21"/>
      <c r="C677" s="21"/>
    </row>
    <row r="678">
      <c r="A678" s="34"/>
      <c r="B678" s="21"/>
      <c r="C678" s="21"/>
    </row>
    <row r="679">
      <c r="A679" s="34"/>
      <c r="B679" s="21"/>
      <c r="C679" s="21"/>
    </row>
    <row r="680">
      <c r="A680" s="34"/>
      <c r="B680" s="21"/>
      <c r="C680" s="21"/>
    </row>
    <row r="681">
      <c r="A681" s="34"/>
      <c r="B681" s="21"/>
      <c r="C681" s="21"/>
    </row>
    <row r="682">
      <c r="A682" s="34"/>
      <c r="B682" s="21"/>
      <c r="C682" s="21"/>
    </row>
    <row r="683">
      <c r="A683" s="34"/>
      <c r="B683" s="21"/>
      <c r="C683" s="21"/>
    </row>
    <row r="684">
      <c r="A684" s="34"/>
      <c r="B684" s="21"/>
      <c r="C684" s="21"/>
    </row>
    <row r="685">
      <c r="A685" s="34"/>
      <c r="B685" s="21"/>
      <c r="C685" s="21"/>
    </row>
    <row r="686">
      <c r="A686" s="34"/>
      <c r="B686" s="21"/>
      <c r="C686" s="21"/>
    </row>
    <row r="687">
      <c r="A687" s="34"/>
      <c r="B687" s="21"/>
      <c r="C687" s="21"/>
    </row>
    <row r="688">
      <c r="A688" s="34"/>
      <c r="B688" s="21"/>
      <c r="C688" s="21"/>
    </row>
    <row r="689">
      <c r="A689" s="34"/>
      <c r="B689" s="21"/>
      <c r="C689" s="21"/>
    </row>
    <row r="690">
      <c r="A690" s="34"/>
      <c r="B690" s="21"/>
      <c r="C690" s="21"/>
    </row>
    <row r="691">
      <c r="A691" s="34"/>
      <c r="B691" s="21"/>
      <c r="C691" s="21"/>
    </row>
    <row r="692">
      <c r="A692" s="34"/>
      <c r="B692" s="21"/>
      <c r="C692" s="21"/>
    </row>
    <row r="693">
      <c r="A693" s="34"/>
      <c r="B693" s="21"/>
      <c r="C693" s="21"/>
    </row>
    <row r="694">
      <c r="A694" s="34"/>
      <c r="B694" s="21"/>
      <c r="C694" s="21"/>
    </row>
    <row r="695">
      <c r="A695" s="34"/>
      <c r="B695" s="21"/>
      <c r="C695" s="21"/>
    </row>
    <row r="696">
      <c r="A696" s="34"/>
      <c r="B696" s="21"/>
      <c r="C696" s="21"/>
    </row>
    <row r="697">
      <c r="A697" s="34"/>
      <c r="B697" s="21"/>
      <c r="C697" s="21"/>
    </row>
    <row r="698">
      <c r="A698" s="34"/>
      <c r="B698" s="21"/>
      <c r="C698" s="21"/>
    </row>
    <row r="699">
      <c r="A699" s="34"/>
      <c r="B699" s="21"/>
      <c r="C699" s="21"/>
    </row>
    <row r="700">
      <c r="A700" s="34"/>
      <c r="B700" s="21"/>
      <c r="C700" s="21"/>
    </row>
    <row r="701">
      <c r="A701" s="34"/>
      <c r="B701" s="21"/>
      <c r="C701" s="21"/>
    </row>
    <row r="702">
      <c r="A702" s="34"/>
      <c r="B702" s="21"/>
      <c r="C702" s="21"/>
    </row>
    <row r="703">
      <c r="A703" s="34"/>
      <c r="B703" s="21"/>
      <c r="C703" s="21"/>
    </row>
    <row r="704">
      <c r="A704" s="34"/>
      <c r="B704" s="21"/>
      <c r="C704" s="21"/>
    </row>
    <row r="705">
      <c r="A705" s="34"/>
      <c r="B705" s="21"/>
      <c r="C705" s="21"/>
    </row>
    <row r="706">
      <c r="A706" s="34"/>
      <c r="B706" s="21"/>
      <c r="C706" s="21"/>
    </row>
    <row r="707">
      <c r="A707" s="34"/>
      <c r="B707" s="21"/>
      <c r="C707" s="21"/>
    </row>
    <row r="708">
      <c r="A708" s="34"/>
      <c r="B708" s="21"/>
      <c r="C708" s="21"/>
    </row>
    <row r="709">
      <c r="A709" s="34"/>
      <c r="B709" s="21"/>
      <c r="C709" s="21"/>
    </row>
    <row r="710">
      <c r="A710" s="34"/>
      <c r="B710" s="21"/>
      <c r="C710" s="21"/>
    </row>
    <row r="711">
      <c r="A711" s="34"/>
      <c r="B711" s="21"/>
      <c r="C711" s="21"/>
    </row>
    <row r="712">
      <c r="A712" s="34"/>
      <c r="B712" s="21"/>
      <c r="C712" s="21"/>
    </row>
    <row r="713">
      <c r="A713" s="34"/>
      <c r="B713" s="21"/>
      <c r="C713" s="21"/>
    </row>
    <row r="714">
      <c r="A714" s="34"/>
      <c r="B714" s="21"/>
      <c r="C714" s="21"/>
    </row>
    <row r="715">
      <c r="A715" s="34"/>
      <c r="B715" s="21"/>
      <c r="C715" s="21"/>
    </row>
    <row r="716">
      <c r="A716" s="34"/>
      <c r="B716" s="21"/>
      <c r="C716" s="21"/>
    </row>
    <row r="717">
      <c r="A717" s="34"/>
      <c r="B717" s="21"/>
      <c r="C717" s="21"/>
    </row>
    <row r="718">
      <c r="A718" s="34"/>
      <c r="B718" s="21"/>
      <c r="C718" s="21"/>
    </row>
    <row r="719">
      <c r="A719" s="34"/>
      <c r="B719" s="21"/>
      <c r="C719" s="21"/>
    </row>
    <row r="720">
      <c r="A720" s="34"/>
      <c r="B720" s="21"/>
      <c r="C720" s="21"/>
    </row>
    <row r="721">
      <c r="A721" s="34"/>
      <c r="B721" s="21"/>
      <c r="C721" s="21"/>
    </row>
    <row r="722">
      <c r="A722" s="34"/>
      <c r="B722" s="21"/>
      <c r="C722" s="21"/>
    </row>
    <row r="723">
      <c r="A723" s="34"/>
      <c r="B723" s="21"/>
      <c r="C723" s="21"/>
    </row>
    <row r="724">
      <c r="A724" s="34"/>
      <c r="B724" s="21"/>
      <c r="C724" s="21"/>
    </row>
    <row r="725">
      <c r="A725" s="34"/>
      <c r="B725" s="21"/>
      <c r="C725" s="21"/>
    </row>
    <row r="726">
      <c r="A726" s="34"/>
      <c r="B726" s="21"/>
      <c r="C726" s="21"/>
    </row>
    <row r="727">
      <c r="A727" s="34"/>
      <c r="B727" s="21"/>
      <c r="C727" s="21"/>
    </row>
    <row r="728">
      <c r="A728" s="34"/>
      <c r="B728" s="21"/>
      <c r="C728" s="21"/>
    </row>
    <row r="729">
      <c r="A729" s="34"/>
      <c r="B729" s="21"/>
      <c r="C729" s="21"/>
    </row>
    <row r="730">
      <c r="A730" s="34"/>
      <c r="B730" s="21"/>
      <c r="C730" s="21"/>
    </row>
    <row r="731">
      <c r="A731" s="34"/>
      <c r="B731" s="21"/>
      <c r="C731" s="21"/>
    </row>
    <row r="732">
      <c r="A732" s="34"/>
      <c r="B732" s="21"/>
      <c r="C732" s="21"/>
    </row>
    <row r="733">
      <c r="A733" s="34"/>
      <c r="B733" s="21"/>
      <c r="C733" s="21"/>
    </row>
    <row r="734">
      <c r="A734" s="34"/>
      <c r="B734" s="21"/>
      <c r="C734" s="21"/>
    </row>
    <row r="735">
      <c r="A735" s="34"/>
      <c r="B735" s="21"/>
      <c r="C735" s="21"/>
    </row>
    <row r="736">
      <c r="A736" s="34"/>
      <c r="B736" s="21"/>
      <c r="C736" s="21"/>
    </row>
    <row r="737">
      <c r="A737" s="34"/>
      <c r="B737" s="21"/>
      <c r="C737" s="21"/>
    </row>
    <row r="738">
      <c r="A738" s="34"/>
      <c r="B738" s="21"/>
      <c r="C738" s="21"/>
    </row>
    <row r="739">
      <c r="A739" s="34"/>
      <c r="B739" s="21"/>
      <c r="C739" s="21"/>
    </row>
    <row r="740">
      <c r="A740" s="34"/>
      <c r="B740" s="21"/>
      <c r="C740" s="21"/>
    </row>
    <row r="741">
      <c r="A741" s="34"/>
      <c r="B741" s="21"/>
      <c r="C741" s="21"/>
    </row>
    <row r="742">
      <c r="A742" s="34"/>
      <c r="B742" s="21"/>
      <c r="C742" s="21"/>
    </row>
    <row r="743">
      <c r="A743" s="34"/>
      <c r="B743" s="21"/>
      <c r="C743" s="21"/>
    </row>
    <row r="744">
      <c r="A744" s="34"/>
      <c r="B744" s="21"/>
      <c r="C744" s="21"/>
    </row>
    <row r="745">
      <c r="A745" s="34"/>
      <c r="B745" s="21"/>
      <c r="C745" s="21"/>
    </row>
    <row r="746">
      <c r="A746" s="34"/>
      <c r="B746" s="21"/>
      <c r="C746" s="21"/>
    </row>
    <row r="747">
      <c r="A747" s="34"/>
      <c r="B747" s="21"/>
      <c r="C747" s="21"/>
    </row>
    <row r="748">
      <c r="A748" s="34"/>
      <c r="B748" s="21"/>
      <c r="C748" s="21"/>
    </row>
    <row r="749">
      <c r="A749" s="34"/>
      <c r="B749" s="21"/>
      <c r="C749" s="21"/>
    </row>
    <row r="750">
      <c r="A750" s="34"/>
      <c r="B750" s="21"/>
      <c r="C750" s="21"/>
    </row>
    <row r="751">
      <c r="A751" s="34"/>
      <c r="B751" s="21"/>
      <c r="C751" s="21"/>
    </row>
    <row r="752">
      <c r="A752" s="34"/>
      <c r="B752" s="21"/>
      <c r="C752" s="21"/>
    </row>
    <row r="753">
      <c r="A753" s="34"/>
      <c r="B753" s="21"/>
      <c r="C753" s="21"/>
    </row>
    <row r="754">
      <c r="A754" s="34"/>
      <c r="B754" s="21"/>
      <c r="C754" s="21"/>
    </row>
    <row r="755">
      <c r="A755" s="34"/>
      <c r="B755" s="21"/>
      <c r="C755" s="21"/>
    </row>
    <row r="756">
      <c r="A756" s="34"/>
      <c r="B756" s="21"/>
      <c r="C756" s="21"/>
    </row>
    <row r="757">
      <c r="A757" s="34"/>
      <c r="B757" s="21"/>
      <c r="C757" s="21"/>
    </row>
    <row r="758">
      <c r="A758" s="34"/>
      <c r="B758" s="21"/>
      <c r="C758" s="21"/>
    </row>
    <row r="759">
      <c r="A759" s="34"/>
      <c r="B759" s="21"/>
      <c r="C759" s="21"/>
    </row>
    <row r="760">
      <c r="A760" s="34"/>
      <c r="B760" s="21"/>
      <c r="C760" s="21"/>
    </row>
    <row r="761">
      <c r="A761" s="34"/>
      <c r="B761" s="21"/>
      <c r="C761" s="21"/>
    </row>
    <row r="762">
      <c r="A762" s="34"/>
      <c r="B762" s="21"/>
      <c r="C762" s="21"/>
    </row>
    <row r="763">
      <c r="A763" s="34"/>
      <c r="B763" s="21"/>
      <c r="C763" s="21"/>
    </row>
    <row r="764">
      <c r="A764" s="34"/>
      <c r="B764" s="21"/>
      <c r="C764" s="21"/>
    </row>
    <row r="765">
      <c r="A765" s="34"/>
      <c r="B765" s="21"/>
      <c r="C765" s="21"/>
    </row>
    <row r="766">
      <c r="A766" s="34"/>
      <c r="B766" s="21"/>
      <c r="C766" s="21"/>
    </row>
    <row r="767">
      <c r="A767" s="34"/>
      <c r="B767" s="21"/>
      <c r="C767" s="21"/>
    </row>
    <row r="768">
      <c r="A768" s="34"/>
      <c r="B768" s="21"/>
      <c r="C768" s="21"/>
    </row>
    <row r="769">
      <c r="A769" s="34"/>
      <c r="B769" s="21"/>
      <c r="C769" s="21"/>
    </row>
    <row r="770">
      <c r="A770" s="34"/>
      <c r="B770" s="21"/>
      <c r="C770" s="21"/>
    </row>
    <row r="771">
      <c r="A771" s="34"/>
      <c r="B771" s="21"/>
      <c r="C771" s="21"/>
    </row>
    <row r="772">
      <c r="A772" s="34"/>
      <c r="B772" s="21"/>
      <c r="C772" s="21"/>
    </row>
    <row r="773">
      <c r="A773" s="34"/>
      <c r="B773" s="21"/>
      <c r="C773" s="21"/>
    </row>
    <row r="774">
      <c r="A774" s="34"/>
      <c r="B774" s="21"/>
      <c r="C774" s="21"/>
    </row>
    <row r="775">
      <c r="A775" s="34"/>
      <c r="B775" s="21"/>
      <c r="C775" s="21"/>
    </row>
    <row r="776">
      <c r="A776" s="34"/>
      <c r="B776" s="21"/>
      <c r="C776" s="21"/>
    </row>
    <row r="777">
      <c r="A777" s="34"/>
      <c r="B777" s="21"/>
      <c r="C777" s="21"/>
    </row>
    <row r="778">
      <c r="A778" s="34"/>
      <c r="B778" s="21"/>
      <c r="C778" s="21"/>
    </row>
    <row r="779">
      <c r="A779" s="34"/>
      <c r="B779" s="21"/>
      <c r="C779" s="21"/>
    </row>
    <row r="780">
      <c r="A780" s="34"/>
      <c r="B780" s="21"/>
      <c r="C780" s="21"/>
    </row>
    <row r="781">
      <c r="A781" s="34"/>
      <c r="B781" s="21"/>
      <c r="C781" s="21"/>
    </row>
    <row r="782">
      <c r="A782" s="34"/>
      <c r="B782" s="21"/>
      <c r="C782" s="21"/>
    </row>
    <row r="783">
      <c r="A783" s="34"/>
      <c r="B783" s="21"/>
      <c r="C783" s="21"/>
    </row>
    <row r="784">
      <c r="A784" s="34"/>
      <c r="B784" s="21"/>
      <c r="C784" s="21"/>
    </row>
    <row r="785">
      <c r="A785" s="34"/>
      <c r="B785" s="21"/>
      <c r="C785" s="21"/>
    </row>
    <row r="786">
      <c r="A786" s="34"/>
      <c r="B786" s="21"/>
      <c r="C786" s="21"/>
    </row>
    <row r="787">
      <c r="A787" s="34"/>
      <c r="B787" s="21"/>
      <c r="C787" s="21"/>
    </row>
    <row r="788">
      <c r="A788" s="34"/>
      <c r="B788" s="21"/>
      <c r="C788" s="21"/>
    </row>
    <row r="789">
      <c r="A789" s="34"/>
      <c r="B789" s="21"/>
      <c r="C789" s="21"/>
    </row>
    <row r="790">
      <c r="A790" s="34"/>
      <c r="B790" s="21"/>
      <c r="C790" s="21"/>
    </row>
    <row r="791">
      <c r="A791" s="34"/>
      <c r="B791" s="21"/>
      <c r="C791" s="21"/>
    </row>
    <row r="792">
      <c r="A792" s="34"/>
      <c r="B792" s="21"/>
      <c r="C792" s="21"/>
    </row>
    <row r="793">
      <c r="A793" s="34"/>
      <c r="B793" s="21"/>
      <c r="C793" s="21"/>
    </row>
    <row r="794">
      <c r="A794" s="34"/>
      <c r="B794" s="21"/>
      <c r="C794" s="21"/>
    </row>
    <row r="795">
      <c r="A795" s="34"/>
      <c r="B795" s="21"/>
      <c r="C795" s="21"/>
    </row>
    <row r="796">
      <c r="A796" s="34"/>
      <c r="B796" s="21"/>
      <c r="C796" s="21"/>
    </row>
    <row r="797">
      <c r="A797" s="34"/>
      <c r="B797" s="21"/>
      <c r="C797" s="21"/>
    </row>
    <row r="798">
      <c r="A798" s="34"/>
      <c r="B798" s="21"/>
      <c r="C798" s="21"/>
    </row>
    <row r="799">
      <c r="A799" s="34"/>
      <c r="B799" s="21"/>
      <c r="C799" s="21"/>
    </row>
    <row r="800">
      <c r="A800" s="34"/>
      <c r="B800" s="21"/>
      <c r="C800" s="21"/>
    </row>
    <row r="801">
      <c r="A801" s="34"/>
      <c r="B801" s="21"/>
      <c r="C801" s="21"/>
    </row>
    <row r="802">
      <c r="A802" s="34"/>
      <c r="B802" s="21"/>
      <c r="C802" s="21"/>
    </row>
    <row r="803">
      <c r="A803" s="34"/>
      <c r="B803" s="21"/>
      <c r="C803" s="21"/>
    </row>
    <row r="804">
      <c r="A804" s="34"/>
      <c r="B804" s="21"/>
      <c r="C804" s="21"/>
    </row>
    <row r="805">
      <c r="A805" s="34"/>
      <c r="B805" s="21"/>
      <c r="C805" s="21"/>
    </row>
    <row r="806">
      <c r="A806" s="34"/>
      <c r="B806" s="21"/>
      <c r="C806" s="21"/>
    </row>
    <row r="807">
      <c r="A807" s="34"/>
      <c r="B807" s="21"/>
      <c r="C807" s="21"/>
    </row>
    <row r="808">
      <c r="A808" s="34"/>
      <c r="B808" s="21"/>
      <c r="C808" s="21"/>
    </row>
    <row r="809">
      <c r="A809" s="34"/>
      <c r="B809" s="21"/>
      <c r="C809" s="21"/>
    </row>
    <row r="810">
      <c r="A810" s="34"/>
      <c r="B810" s="21"/>
      <c r="C810" s="21"/>
    </row>
    <row r="811">
      <c r="A811" s="34"/>
      <c r="B811" s="21"/>
      <c r="C811" s="21"/>
    </row>
    <row r="812">
      <c r="A812" s="34"/>
      <c r="B812" s="21"/>
      <c r="C812" s="21"/>
    </row>
    <row r="813">
      <c r="A813" s="34"/>
      <c r="B813" s="21"/>
      <c r="C813" s="21"/>
    </row>
    <row r="814">
      <c r="A814" s="34"/>
      <c r="B814" s="21"/>
      <c r="C814" s="21"/>
    </row>
    <row r="815">
      <c r="A815" s="34"/>
      <c r="B815" s="21"/>
      <c r="C815" s="21"/>
    </row>
    <row r="816">
      <c r="A816" s="34"/>
      <c r="B816" s="21"/>
      <c r="C816" s="21"/>
    </row>
    <row r="817">
      <c r="A817" s="34"/>
      <c r="B817" s="21"/>
      <c r="C817" s="21"/>
    </row>
    <row r="818">
      <c r="A818" s="34"/>
      <c r="B818" s="21"/>
      <c r="C818" s="21"/>
    </row>
    <row r="819">
      <c r="A819" s="34"/>
      <c r="B819" s="21"/>
      <c r="C819" s="21"/>
    </row>
    <row r="820">
      <c r="A820" s="34"/>
      <c r="B820" s="21"/>
      <c r="C820" s="21"/>
    </row>
    <row r="821">
      <c r="A821" s="34"/>
      <c r="B821" s="21"/>
      <c r="C821" s="21"/>
    </row>
    <row r="822">
      <c r="A822" s="34"/>
      <c r="B822" s="21"/>
      <c r="C822" s="21"/>
    </row>
    <row r="823">
      <c r="A823" s="34"/>
      <c r="B823" s="21"/>
      <c r="C823" s="21"/>
    </row>
    <row r="824">
      <c r="A824" s="34"/>
      <c r="B824" s="21"/>
      <c r="C824" s="21"/>
    </row>
    <row r="825">
      <c r="A825" s="34"/>
      <c r="B825" s="21"/>
      <c r="C825" s="21"/>
    </row>
    <row r="826">
      <c r="A826" s="34"/>
      <c r="B826" s="21"/>
      <c r="C826" s="21"/>
    </row>
    <row r="827">
      <c r="A827" s="34"/>
      <c r="B827" s="21"/>
      <c r="C827" s="21"/>
    </row>
    <row r="828">
      <c r="A828" s="34"/>
      <c r="B828" s="21"/>
      <c r="C828" s="21"/>
    </row>
    <row r="829">
      <c r="A829" s="34"/>
      <c r="B829" s="21"/>
      <c r="C829" s="21"/>
    </row>
    <row r="830">
      <c r="A830" s="34"/>
      <c r="B830" s="21"/>
      <c r="C830" s="21"/>
    </row>
    <row r="831">
      <c r="A831" s="34"/>
      <c r="B831" s="21"/>
      <c r="C831" s="21"/>
    </row>
    <row r="832">
      <c r="A832" s="34"/>
      <c r="B832" s="21"/>
      <c r="C832" s="21"/>
    </row>
    <row r="833">
      <c r="A833" s="34"/>
      <c r="B833" s="21"/>
      <c r="C833" s="21"/>
    </row>
    <row r="834">
      <c r="A834" s="34"/>
      <c r="B834" s="21"/>
      <c r="C834" s="21"/>
    </row>
    <row r="835">
      <c r="A835" s="34"/>
      <c r="B835" s="21"/>
      <c r="C835" s="21"/>
    </row>
    <row r="836">
      <c r="A836" s="34"/>
      <c r="B836" s="21"/>
      <c r="C836" s="21"/>
    </row>
    <row r="837">
      <c r="A837" s="34"/>
      <c r="B837" s="21"/>
      <c r="C837" s="21"/>
    </row>
    <row r="838">
      <c r="A838" s="34"/>
      <c r="B838" s="21"/>
      <c r="C838" s="21"/>
    </row>
    <row r="839">
      <c r="A839" s="34"/>
      <c r="B839" s="21"/>
      <c r="C839" s="21"/>
    </row>
    <row r="840">
      <c r="A840" s="34"/>
      <c r="B840" s="21"/>
      <c r="C840" s="21"/>
    </row>
    <row r="841">
      <c r="A841" s="34"/>
      <c r="B841" s="21"/>
      <c r="C841" s="21"/>
    </row>
    <row r="842">
      <c r="A842" s="34"/>
      <c r="B842" s="21"/>
      <c r="C842" s="21"/>
    </row>
    <row r="843">
      <c r="A843" s="34"/>
      <c r="B843" s="21"/>
      <c r="C843" s="21"/>
    </row>
    <row r="844">
      <c r="A844" s="34"/>
      <c r="B844" s="21"/>
      <c r="C844" s="21"/>
    </row>
    <row r="845">
      <c r="A845" s="34"/>
      <c r="B845" s="21"/>
      <c r="C845" s="21"/>
    </row>
    <row r="846">
      <c r="A846" s="34"/>
      <c r="B846" s="21"/>
      <c r="C846" s="21"/>
    </row>
    <row r="847">
      <c r="A847" s="34"/>
      <c r="B847" s="21"/>
      <c r="C847" s="21"/>
    </row>
    <row r="848">
      <c r="A848" s="34"/>
      <c r="B848" s="21"/>
      <c r="C848" s="21"/>
    </row>
    <row r="849">
      <c r="A849" s="34"/>
      <c r="B849" s="21"/>
      <c r="C849" s="21"/>
    </row>
    <row r="850">
      <c r="A850" s="34"/>
      <c r="B850" s="21"/>
      <c r="C850" s="21"/>
    </row>
    <row r="851">
      <c r="A851" s="34"/>
      <c r="B851" s="21"/>
      <c r="C851" s="21"/>
    </row>
    <row r="852">
      <c r="A852" s="34"/>
      <c r="B852" s="21"/>
      <c r="C852" s="21"/>
    </row>
    <row r="853">
      <c r="A853" s="34"/>
      <c r="B853" s="21"/>
      <c r="C853" s="21"/>
    </row>
    <row r="854">
      <c r="A854" s="34"/>
      <c r="B854" s="21"/>
      <c r="C854" s="21"/>
    </row>
    <row r="855">
      <c r="A855" s="34"/>
      <c r="B855" s="21"/>
      <c r="C855" s="21"/>
    </row>
    <row r="856">
      <c r="A856" s="34"/>
      <c r="B856" s="21"/>
      <c r="C856" s="21"/>
    </row>
    <row r="857">
      <c r="A857" s="34"/>
      <c r="B857" s="21"/>
      <c r="C857" s="21"/>
    </row>
    <row r="858">
      <c r="A858" s="34"/>
      <c r="B858" s="21"/>
      <c r="C858" s="21"/>
    </row>
    <row r="859">
      <c r="A859" s="34"/>
      <c r="B859" s="21"/>
      <c r="C859" s="21"/>
    </row>
    <row r="860">
      <c r="A860" s="34"/>
      <c r="B860" s="21"/>
      <c r="C860" s="21"/>
    </row>
    <row r="861">
      <c r="A861" s="34"/>
      <c r="B861" s="21"/>
      <c r="C861" s="21"/>
    </row>
    <row r="862">
      <c r="A862" s="34"/>
      <c r="B862" s="21"/>
      <c r="C862" s="21"/>
    </row>
    <row r="863">
      <c r="A863" s="34"/>
      <c r="B863" s="21"/>
      <c r="C863" s="21"/>
    </row>
    <row r="864">
      <c r="A864" s="34"/>
      <c r="B864" s="21"/>
      <c r="C864" s="21"/>
    </row>
    <row r="865">
      <c r="A865" s="34"/>
      <c r="B865" s="21"/>
      <c r="C865" s="21"/>
    </row>
    <row r="866">
      <c r="A866" s="34"/>
      <c r="B866" s="21"/>
      <c r="C866" s="21"/>
    </row>
    <row r="867">
      <c r="A867" s="34"/>
      <c r="B867" s="21"/>
      <c r="C867" s="21"/>
    </row>
    <row r="868">
      <c r="A868" s="34"/>
      <c r="B868" s="21"/>
      <c r="C868" s="21"/>
    </row>
    <row r="869">
      <c r="A869" s="34"/>
      <c r="B869" s="21"/>
      <c r="C869" s="21"/>
    </row>
    <row r="870">
      <c r="A870" s="34"/>
      <c r="B870" s="21"/>
      <c r="C870" s="21"/>
    </row>
    <row r="871">
      <c r="A871" s="34"/>
      <c r="B871" s="21"/>
      <c r="C871" s="21"/>
    </row>
    <row r="872">
      <c r="A872" s="34"/>
      <c r="B872" s="21"/>
      <c r="C872" s="21"/>
    </row>
    <row r="873">
      <c r="A873" s="34"/>
      <c r="B873" s="21"/>
      <c r="C873" s="21"/>
    </row>
    <row r="874">
      <c r="A874" s="34"/>
      <c r="B874" s="21"/>
      <c r="C874" s="21"/>
    </row>
    <row r="875">
      <c r="A875" s="34"/>
      <c r="B875" s="21"/>
      <c r="C875" s="21"/>
    </row>
    <row r="876">
      <c r="A876" s="34"/>
      <c r="B876" s="21"/>
      <c r="C876" s="21"/>
    </row>
    <row r="877">
      <c r="A877" s="34"/>
      <c r="B877" s="21"/>
      <c r="C877" s="21"/>
    </row>
    <row r="878">
      <c r="A878" s="34"/>
      <c r="B878" s="21"/>
      <c r="C878" s="21"/>
    </row>
    <row r="879">
      <c r="A879" s="34"/>
      <c r="B879" s="21"/>
      <c r="C879" s="21"/>
    </row>
    <row r="880">
      <c r="A880" s="34"/>
      <c r="B880" s="21"/>
      <c r="C880" s="21"/>
    </row>
    <row r="881">
      <c r="A881" s="34"/>
      <c r="B881" s="21"/>
      <c r="C881" s="21"/>
    </row>
    <row r="882">
      <c r="A882" s="34"/>
      <c r="B882" s="21"/>
      <c r="C882" s="21"/>
    </row>
    <row r="883">
      <c r="A883" s="34"/>
      <c r="B883" s="21"/>
      <c r="C883" s="21"/>
    </row>
    <row r="884">
      <c r="A884" s="34"/>
      <c r="B884" s="21"/>
      <c r="C884" s="21"/>
    </row>
    <row r="885">
      <c r="A885" s="34"/>
      <c r="B885" s="21"/>
      <c r="C885" s="21"/>
    </row>
    <row r="886">
      <c r="A886" s="34"/>
      <c r="B886" s="21"/>
      <c r="C886" s="21"/>
    </row>
    <row r="887">
      <c r="A887" s="34"/>
      <c r="B887" s="21"/>
      <c r="C887" s="21"/>
    </row>
    <row r="888">
      <c r="A888" s="34"/>
      <c r="B888" s="21"/>
      <c r="C888" s="21"/>
    </row>
    <row r="889">
      <c r="A889" s="34"/>
      <c r="B889" s="21"/>
      <c r="C889" s="21"/>
    </row>
    <row r="890">
      <c r="A890" s="34"/>
      <c r="B890" s="21"/>
      <c r="C890" s="21"/>
    </row>
    <row r="891">
      <c r="A891" s="34"/>
      <c r="B891" s="21"/>
      <c r="C891" s="21"/>
    </row>
    <row r="892">
      <c r="A892" s="34"/>
      <c r="B892" s="21"/>
      <c r="C892" s="21"/>
    </row>
    <row r="893">
      <c r="A893" s="34"/>
      <c r="B893" s="21"/>
      <c r="C893" s="21"/>
    </row>
    <row r="894">
      <c r="A894" s="34"/>
      <c r="B894" s="21"/>
      <c r="C894" s="21"/>
    </row>
    <row r="895">
      <c r="A895" s="34"/>
      <c r="B895" s="21"/>
      <c r="C895" s="21"/>
    </row>
    <row r="896">
      <c r="A896" s="34"/>
      <c r="B896" s="21"/>
      <c r="C896" s="21"/>
    </row>
    <row r="897">
      <c r="A897" s="34"/>
      <c r="B897" s="21"/>
      <c r="C897" s="21"/>
    </row>
    <row r="898">
      <c r="A898" s="34"/>
      <c r="B898" s="21"/>
      <c r="C898" s="21"/>
    </row>
    <row r="899">
      <c r="A899" s="34"/>
      <c r="B899" s="21"/>
      <c r="C899" s="21"/>
    </row>
    <row r="900">
      <c r="A900" s="34"/>
      <c r="B900" s="21"/>
      <c r="C900" s="21"/>
    </row>
    <row r="901">
      <c r="A901" s="34"/>
      <c r="B901" s="21"/>
      <c r="C901" s="21"/>
    </row>
    <row r="902">
      <c r="A902" s="34"/>
      <c r="B902" s="21"/>
      <c r="C902" s="21"/>
    </row>
    <row r="903">
      <c r="A903" s="34"/>
      <c r="B903" s="21"/>
      <c r="C903" s="21"/>
    </row>
    <row r="904">
      <c r="A904" s="34"/>
      <c r="B904" s="21"/>
      <c r="C904" s="21"/>
    </row>
    <row r="905">
      <c r="A905" s="34"/>
      <c r="B905" s="21"/>
      <c r="C905" s="21"/>
    </row>
    <row r="906">
      <c r="A906" s="34"/>
      <c r="B906" s="21"/>
      <c r="C906" s="21"/>
    </row>
    <row r="907">
      <c r="A907" s="34"/>
      <c r="B907" s="21"/>
      <c r="C907" s="21"/>
    </row>
    <row r="908">
      <c r="A908" s="34"/>
      <c r="B908" s="21"/>
      <c r="C908" s="21"/>
    </row>
    <row r="909">
      <c r="A909" s="34"/>
      <c r="B909" s="21"/>
      <c r="C909" s="21"/>
    </row>
    <row r="910">
      <c r="A910" s="34"/>
      <c r="B910" s="21"/>
      <c r="C910" s="21"/>
    </row>
    <row r="911">
      <c r="A911" s="34"/>
      <c r="B911" s="21"/>
      <c r="C911" s="21"/>
    </row>
    <row r="912">
      <c r="A912" s="34"/>
      <c r="B912" s="21"/>
      <c r="C912" s="21"/>
    </row>
    <row r="913">
      <c r="A913" s="34"/>
      <c r="B913" s="21"/>
      <c r="C913" s="21"/>
    </row>
    <row r="914">
      <c r="A914" s="34"/>
      <c r="B914" s="21"/>
      <c r="C914" s="21"/>
    </row>
    <row r="915">
      <c r="A915" s="34"/>
      <c r="B915" s="21"/>
      <c r="C915" s="21"/>
    </row>
    <row r="916">
      <c r="A916" s="34"/>
      <c r="B916" s="21"/>
      <c r="C916" s="21"/>
    </row>
    <row r="917">
      <c r="A917" s="34"/>
      <c r="B917" s="21"/>
      <c r="C917" s="21"/>
    </row>
    <row r="918">
      <c r="A918" s="34"/>
      <c r="B918" s="21"/>
      <c r="C918" s="21"/>
    </row>
    <row r="919">
      <c r="A919" s="34"/>
      <c r="B919" s="21"/>
      <c r="C919" s="21"/>
    </row>
    <row r="920">
      <c r="A920" s="34"/>
      <c r="B920" s="21"/>
      <c r="C920" s="21"/>
    </row>
    <row r="921">
      <c r="A921" s="34"/>
      <c r="B921" s="21"/>
      <c r="C921" s="21"/>
    </row>
    <row r="922">
      <c r="A922" s="34"/>
      <c r="B922" s="21"/>
      <c r="C922" s="21"/>
    </row>
    <row r="923">
      <c r="A923" s="34"/>
      <c r="B923" s="21"/>
      <c r="C923" s="21"/>
    </row>
    <row r="924">
      <c r="A924" s="34"/>
      <c r="B924" s="21"/>
      <c r="C924" s="21"/>
    </row>
    <row r="925">
      <c r="A925" s="34"/>
      <c r="B925" s="21"/>
      <c r="C925" s="21"/>
    </row>
    <row r="926">
      <c r="A926" s="34"/>
      <c r="B926" s="21"/>
      <c r="C926" s="21"/>
    </row>
    <row r="927">
      <c r="A927" s="34"/>
      <c r="B927" s="21"/>
      <c r="C927" s="21"/>
    </row>
    <row r="928">
      <c r="A928" s="34"/>
      <c r="B928" s="21"/>
      <c r="C928" s="21"/>
    </row>
    <row r="929">
      <c r="A929" s="34"/>
      <c r="B929" s="21"/>
      <c r="C929" s="21"/>
    </row>
    <row r="930">
      <c r="A930" s="34"/>
      <c r="B930" s="21"/>
      <c r="C930" s="21"/>
    </row>
    <row r="931">
      <c r="A931" s="34"/>
      <c r="B931" s="21"/>
      <c r="C931" s="21"/>
    </row>
    <row r="932">
      <c r="A932" s="34"/>
      <c r="B932" s="21"/>
      <c r="C932" s="21"/>
    </row>
    <row r="933">
      <c r="A933" s="34"/>
      <c r="B933" s="21"/>
      <c r="C933" s="21"/>
    </row>
    <row r="934">
      <c r="A934" s="34"/>
      <c r="B934" s="21"/>
      <c r="C934" s="21"/>
    </row>
    <row r="935">
      <c r="A935" s="34"/>
      <c r="B935" s="21"/>
      <c r="C935" s="21"/>
    </row>
    <row r="936">
      <c r="A936" s="34"/>
      <c r="B936" s="21"/>
      <c r="C936" s="21"/>
    </row>
    <row r="937">
      <c r="A937" s="34"/>
      <c r="B937" s="21"/>
      <c r="C937" s="21"/>
    </row>
    <row r="938">
      <c r="A938" s="34"/>
      <c r="B938" s="21"/>
      <c r="C938" s="21"/>
    </row>
    <row r="939">
      <c r="A939" s="34"/>
      <c r="B939" s="21"/>
      <c r="C939" s="21"/>
    </row>
    <row r="940">
      <c r="A940" s="34"/>
      <c r="B940" s="21"/>
      <c r="C940" s="21"/>
    </row>
    <row r="941">
      <c r="A941" s="34"/>
      <c r="B941" s="21"/>
      <c r="C941" s="21"/>
    </row>
    <row r="942">
      <c r="A942" s="34"/>
      <c r="B942" s="21"/>
      <c r="C942" s="21"/>
    </row>
    <row r="943">
      <c r="A943" s="34"/>
      <c r="B943" s="21"/>
      <c r="C943" s="21"/>
    </row>
    <row r="944">
      <c r="A944" s="34"/>
      <c r="B944" s="21"/>
      <c r="C944" s="21"/>
    </row>
    <row r="945">
      <c r="A945" s="34"/>
      <c r="B945" s="21"/>
      <c r="C945" s="21"/>
    </row>
    <row r="946">
      <c r="A946" s="34"/>
      <c r="B946" s="21"/>
      <c r="C946" s="21"/>
    </row>
    <row r="947">
      <c r="A947" s="34"/>
      <c r="B947" s="21"/>
      <c r="C947" s="21"/>
    </row>
    <row r="948">
      <c r="A948" s="34"/>
      <c r="B948" s="21"/>
      <c r="C948" s="21"/>
    </row>
    <row r="949">
      <c r="A949" s="34"/>
      <c r="B949" s="21"/>
      <c r="C949" s="21"/>
    </row>
    <row r="950">
      <c r="A950" s="34"/>
      <c r="B950" s="21"/>
      <c r="C950" s="21"/>
    </row>
    <row r="951">
      <c r="A951" s="34"/>
      <c r="B951" s="21"/>
      <c r="C951" s="21"/>
    </row>
    <row r="952">
      <c r="A952" s="34"/>
      <c r="B952" s="21"/>
      <c r="C952" s="21"/>
    </row>
    <row r="953">
      <c r="A953" s="34"/>
      <c r="B953" s="21"/>
      <c r="C953" s="21"/>
    </row>
    <row r="954">
      <c r="A954" s="34"/>
      <c r="B954" s="21"/>
      <c r="C954" s="21"/>
    </row>
    <row r="955">
      <c r="A955" s="34"/>
      <c r="B955" s="21"/>
      <c r="C955" s="21"/>
    </row>
    <row r="956">
      <c r="A956" s="34"/>
      <c r="B956" s="21"/>
      <c r="C956" s="21"/>
    </row>
    <row r="957">
      <c r="A957" s="34"/>
      <c r="B957" s="21"/>
      <c r="C957" s="21"/>
    </row>
    <row r="958">
      <c r="A958" s="34"/>
      <c r="B958" s="21"/>
      <c r="C958" s="21"/>
    </row>
    <row r="959">
      <c r="A959" s="34"/>
      <c r="B959" s="21"/>
      <c r="C959" s="21"/>
    </row>
    <row r="960">
      <c r="A960" s="34"/>
      <c r="B960" s="21"/>
      <c r="C960" s="21"/>
    </row>
    <row r="961">
      <c r="A961" s="34"/>
      <c r="B961" s="21"/>
      <c r="C961" s="21"/>
    </row>
    <row r="962">
      <c r="A962" s="34"/>
      <c r="B962" s="21"/>
      <c r="C962" s="21"/>
    </row>
    <row r="963">
      <c r="A963" s="34"/>
      <c r="B963" s="21"/>
      <c r="C963" s="21"/>
    </row>
    <row r="964">
      <c r="A964" s="34"/>
      <c r="B964" s="21"/>
      <c r="C964" s="21"/>
    </row>
    <row r="965">
      <c r="A965" s="34"/>
      <c r="B965" s="21"/>
      <c r="C965" s="21"/>
    </row>
    <row r="966">
      <c r="A966" s="34"/>
      <c r="B966" s="21"/>
      <c r="C966" s="21"/>
    </row>
    <row r="967">
      <c r="A967" s="34"/>
      <c r="B967" s="21"/>
      <c r="C967" s="21"/>
    </row>
    <row r="968">
      <c r="A968" s="34"/>
      <c r="B968" s="21"/>
      <c r="C968" s="21"/>
    </row>
    <row r="969">
      <c r="A969" s="34"/>
      <c r="B969" s="21"/>
      <c r="C969" s="21"/>
    </row>
    <row r="970">
      <c r="A970" s="34"/>
      <c r="B970" s="21"/>
      <c r="C970" s="21"/>
    </row>
    <row r="971">
      <c r="A971" s="34"/>
      <c r="B971" s="21"/>
      <c r="C971" s="21"/>
    </row>
    <row r="972">
      <c r="A972" s="34"/>
      <c r="B972" s="21"/>
      <c r="C972" s="21"/>
    </row>
    <row r="973">
      <c r="A973" s="34"/>
      <c r="B973" s="21"/>
      <c r="C973" s="21"/>
    </row>
    <row r="974">
      <c r="A974" s="34"/>
      <c r="B974" s="21"/>
      <c r="C974" s="21"/>
    </row>
    <row r="975">
      <c r="A975" s="34"/>
      <c r="B975" s="21"/>
      <c r="C975" s="21"/>
    </row>
    <row r="976">
      <c r="A976" s="34"/>
      <c r="B976" s="21"/>
      <c r="C976" s="21"/>
    </row>
    <row r="977">
      <c r="A977" s="34"/>
      <c r="B977" s="21"/>
      <c r="C977" s="21"/>
    </row>
    <row r="978">
      <c r="A978" s="34"/>
      <c r="B978" s="21"/>
      <c r="C978" s="21"/>
    </row>
    <row r="979">
      <c r="A979" s="34"/>
      <c r="B979" s="21"/>
      <c r="C979" s="21"/>
    </row>
    <row r="980">
      <c r="A980" s="34"/>
      <c r="B980" s="21"/>
      <c r="C980" s="21"/>
    </row>
    <row r="981">
      <c r="A981" s="34"/>
      <c r="B981" s="21"/>
      <c r="C981" s="21"/>
    </row>
    <row r="982">
      <c r="A982" s="34"/>
      <c r="B982" s="21"/>
      <c r="C982" s="21"/>
    </row>
    <row r="983">
      <c r="A983" s="34"/>
      <c r="B983" s="21"/>
      <c r="C983" s="21"/>
    </row>
    <row r="984">
      <c r="A984" s="34"/>
      <c r="B984" s="21"/>
      <c r="C984" s="21"/>
    </row>
    <row r="985">
      <c r="A985" s="34"/>
      <c r="B985" s="21"/>
      <c r="C985" s="21"/>
    </row>
    <row r="986">
      <c r="A986" s="34"/>
      <c r="B986" s="21"/>
      <c r="C986" s="21"/>
    </row>
    <row r="987">
      <c r="A987" s="34"/>
      <c r="B987" s="21"/>
      <c r="C987" s="21"/>
    </row>
    <row r="988">
      <c r="A988" s="34"/>
      <c r="B988" s="21"/>
      <c r="C988" s="21"/>
    </row>
    <row r="989">
      <c r="A989" s="34"/>
      <c r="B989" s="21"/>
      <c r="C989" s="21"/>
    </row>
    <row r="990">
      <c r="A990" s="34"/>
      <c r="B990" s="21"/>
      <c r="C990" s="21"/>
    </row>
    <row r="991">
      <c r="A991" s="34"/>
      <c r="B991" s="21"/>
      <c r="C991" s="21"/>
    </row>
    <row r="992">
      <c r="A992" s="34"/>
      <c r="B992" s="21"/>
      <c r="C992" s="21"/>
    </row>
    <row r="993">
      <c r="A993" s="34"/>
      <c r="B993" s="21"/>
      <c r="C993" s="21"/>
    </row>
    <row r="994">
      <c r="A994" s="34"/>
      <c r="B994" s="21"/>
      <c r="C994" s="21"/>
    </row>
    <row r="995">
      <c r="A995" s="34"/>
      <c r="B995" s="21"/>
      <c r="C995" s="21"/>
    </row>
    <row r="996">
      <c r="A996" s="34"/>
      <c r="B996" s="21"/>
      <c r="C996" s="21"/>
    </row>
    <row r="997">
      <c r="A997" s="34"/>
      <c r="B997" s="21"/>
      <c r="C997" s="21"/>
    </row>
    <row r="998">
      <c r="A998" s="34"/>
      <c r="B998" s="21"/>
      <c r="C998" s="21"/>
    </row>
    <row r="999">
      <c r="A999" s="34"/>
      <c r="B999" s="21"/>
      <c r="C999" s="21"/>
    </row>
    <row r="1000">
      <c r="A1000" s="34"/>
      <c r="B1000" s="21"/>
      <c r="C1000" s="21"/>
    </row>
  </sheetData>
  <mergeCells count="1">
    <mergeCell ref="E2:F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8.0"/>
    <col customWidth="1" min="3" max="3" width="15.0"/>
    <col customWidth="1" min="5" max="5" width="16.0"/>
  </cols>
  <sheetData>
    <row r="1">
      <c r="A1" s="40" t="s">
        <v>0</v>
      </c>
      <c r="B1" s="41" t="s">
        <v>11</v>
      </c>
      <c r="C1" s="27" t="s">
        <v>12</v>
      </c>
      <c r="F1" s="28" t="s">
        <v>13</v>
      </c>
      <c r="G1" s="29" t="s">
        <v>14</v>
      </c>
    </row>
    <row r="2">
      <c r="A2" s="20">
        <v>46057.0</v>
      </c>
      <c r="B2" s="21">
        <f>vlookup(A2,combine!A1:E55,4,0)</f>
        <v>0</v>
      </c>
      <c r="C2" s="21">
        <f>vlookup(A2,combine!A1:E55,5,0)</f>
        <v>0</v>
      </c>
      <c r="E2" s="31" t="s">
        <v>15</v>
      </c>
      <c r="F2" s="21">
        <f>VLOOKUP(E2,dataset_descriptions!E1:G6,2,0)</f>
        <v>0.00138372545</v>
      </c>
      <c r="G2" s="21">
        <f>vlookup(E2,dataset_descriptions!E1:G6,3,0)</f>
        <v>0.009094399124</v>
      </c>
    </row>
    <row r="3">
      <c r="A3" s="20">
        <v>46055.0</v>
      </c>
      <c r="B3" s="21">
        <f>vlookup(A3,combine!A2:E56,4,0)</f>
        <v>0.06346180035</v>
      </c>
      <c r="C3" s="21">
        <f>vlookup(A3,combine!A2:E56,5,0)</f>
        <v>0.02770083102</v>
      </c>
      <c r="E3" s="31" t="s">
        <v>16</v>
      </c>
      <c r="F3" s="21">
        <f>VLOOKUP(E3,dataset_descriptions!E2:G7,2,0)</f>
        <v>0.02273034144</v>
      </c>
      <c r="G3" s="21">
        <f>vlookup(E3,dataset_descriptions!E2:G7,3,0)</f>
        <v>0.03544135154</v>
      </c>
    </row>
    <row r="4">
      <c r="A4" s="20">
        <v>46048.0</v>
      </c>
      <c r="B4" s="21">
        <f>vlookup(A4,combine!A3:E57,4,0)</f>
        <v>0.01324686077</v>
      </c>
      <c r="C4" s="21">
        <f>vlookup(A4,combine!A3:E57,5,0)</f>
        <v>0.009507829978</v>
      </c>
      <c r="E4" s="31" t="s">
        <v>17</v>
      </c>
      <c r="F4" s="21">
        <f>VLOOKUP(E4,dataset_descriptions!E3:G8,2,0)</f>
        <v>0.001213010398</v>
      </c>
      <c r="G4" s="21">
        <f>vlookup(E4,dataset_descriptions!E3:G8,3,0)</f>
        <v>0.002568629883</v>
      </c>
    </row>
    <row r="5">
      <c r="A5" s="20">
        <v>46041.0</v>
      </c>
      <c r="B5" s="21">
        <f>vlookup(A5,combine!A4:E58,4,0)</f>
        <v>-0.03681552366</v>
      </c>
      <c r="C5" s="21">
        <f>vlookup(A5,combine!A4:E58,5,0)</f>
        <v>-0.05396825397</v>
      </c>
      <c r="E5" s="31" t="s">
        <v>18</v>
      </c>
      <c r="F5" s="21">
        <f>VLOOKUP(E5,dataset_descriptions!E4:G9,2,0)</f>
        <v>0.03482829881</v>
      </c>
      <c r="G5" s="21">
        <f>vlookup(E5,dataset_descriptions!E4:G9,3,0)</f>
        <v>0.05068165233</v>
      </c>
    </row>
    <row r="6">
      <c r="A6" s="20">
        <v>46034.0</v>
      </c>
      <c r="B6" s="21">
        <f>vlookup(A6,combine!A5:E59,4,0)</f>
        <v>-0.002254342925</v>
      </c>
      <c r="C6" s="21">
        <f>vlookup(A6,combine!A5:E59,5,0)</f>
        <v>0.1059098888</v>
      </c>
      <c r="E6" s="31" t="s">
        <v>19</v>
      </c>
      <c r="F6" s="32">
        <f>VLOOKUP(E6,dataset_descriptions!E5:G10,2,0)</f>
        <v>25.16994885</v>
      </c>
      <c r="G6" s="32">
        <f>vlookup(E6,dataset_descriptions!E5:G10,3,0)</f>
        <v>5.572842322</v>
      </c>
    </row>
    <row r="7">
      <c r="A7" s="20">
        <v>46027.0</v>
      </c>
      <c r="B7" s="21">
        <f>vlookup(A7,combine!A6:E60,4,0)</f>
        <v>-0.04229108458</v>
      </c>
      <c r="C7" s="21">
        <f>vlookup(A7,combine!A6:E60,5,0)</f>
        <v>0.07013149656</v>
      </c>
      <c r="E7" s="42" t="s">
        <v>33</v>
      </c>
      <c r="F7" s="43">
        <f>(F2-F10)/F5</f>
        <v>0.01786440941</v>
      </c>
      <c r="G7" s="43">
        <f>(G2-F10)/G5</f>
        <v>0.164415726</v>
      </c>
    </row>
    <row r="8">
      <c r="A8" s="20">
        <v>46020.0</v>
      </c>
      <c r="B8" s="21">
        <f>vlookup(A8,combine!A7:E61,4,0)</f>
        <v>0.01169214956</v>
      </c>
      <c r="C8" s="21">
        <f>vlookup(A8,combine!A7:E61,5,0)</f>
        <v>0.005034612964</v>
      </c>
    </row>
    <row r="9">
      <c r="A9" s="20">
        <v>46013.0</v>
      </c>
      <c r="B9" s="21">
        <f>vlookup(A9,combine!A8:E62,4,0)</f>
        <v>-0.01218428735</v>
      </c>
      <c r="C9" s="21">
        <f>vlookup(A9,combine!A8:E62,5,0)</f>
        <v>0.009529860229</v>
      </c>
      <c r="E9" s="44" t="s">
        <v>34</v>
      </c>
      <c r="F9" s="45">
        <v>0.0396</v>
      </c>
    </row>
    <row r="10">
      <c r="A10" s="20">
        <v>46006.0</v>
      </c>
      <c r="B10" s="21">
        <f>vlookup(A10,combine!A9:E63,4,0)</f>
        <v>0.01077613855</v>
      </c>
      <c r="C10" s="21">
        <f>vlookup(A10,combine!A9:E63,5,0)</f>
        <v>-0.01686445971</v>
      </c>
      <c r="E10" s="46" t="s">
        <v>35</v>
      </c>
      <c r="F10" s="21">
        <f>F9/52</f>
        <v>0.0007615384615</v>
      </c>
    </row>
    <row r="11">
      <c r="A11" s="20">
        <v>45999.0</v>
      </c>
      <c r="B11" s="21">
        <f>vlookup(A11,combine!A10:E64,4,0)</f>
        <v>-0.01103780766</v>
      </c>
      <c r="C11" s="21">
        <f>vlookup(A11,combine!A10:E64,5,0)</f>
        <v>-0.01658476658</v>
      </c>
    </row>
    <row r="12">
      <c r="A12" s="20">
        <v>45992.0</v>
      </c>
      <c r="B12" s="21">
        <f>vlookup(A12,combine!A11:E65,4,0)</f>
        <v>-0.01265188526</v>
      </c>
      <c r="C12" s="21">
        <f>vlookup(A12,combine!A11:E65,5,0)</f>
        <v>0.03168567807</v>
      </c>
    </row>
    <row r="13">
      <c r="A13" s="20">
        <v>45985.0</v>
      </c>
      <c r="B13" s="21">
        <f>vlookup(A13,combine!A12:E66,4,0)</f>
        <v>-0.0116379844</v>
      </c>
      <c r="C13" s="21">
        <f>vlookup(A13,combine!A12:E66,5,0)</f>
        <v>0.03815789474</v>
      </c>
      <c r="E13" s="47" t="s">
        <v>36</v>
      </c>
    </row>
    <row r="14">
      <c r="A14" s="20">
        <v>45978.0</v>
      </c>
      <c r="B14" s="21">
        <f>vlookup(A14,combine!A13:E67,4,0)</f>
        <v>0.005727804757</v>
      </c>
      <c r="C14" s="21">
        <f>vlookup(A14,combine!A13:E67,5,0)</f>
        <v>-0.03736542115</v>
      </c>
    </row>
    <row r="15">
      <c r="A15" s="20">
        <v>45971.0</v>
      </c>
      <c r="B15" s="21">
        <f>vlookup(A15,combine!A14:E68,4,0)</f>
        <v>0.01504044489</v>
      </c>
      <c r="C15" s="21">
        <f>vlookup(A15,combine!A14:E68,5,0)</f>
        <v>0.04708222812</v>
      </c>
    </row>
    <row r="16">
      <c r="A16" s="20">
        <v>45964.0</v>
      </c>
      <c r="B16" s="21">
        <f>vlookup(A16,combine!A15:E69,4,0)</f>
        <v>0.02913631634</v>
      </c>
      <c r="C16" s="21">
        <f>vlookup(A16,combine!A15:E69,5,0)</f>
        <v>-0.003304692664</v>
      </c>
    </row>
    <row r="17">
      <c r="A17" s="20">
        <v>45957.0</v>
      </c>
      <c r="B17" s="21">
        <f>vlookup(A17,combine!A16:E70,4,0)</f>
        <v>-0.0403195606</v>
      </c>
      <c r="C17" s="21">
        <f>vlookup(A17,combine!A16:E70,5,0)</f>
        <v>0.02437373053</v>
      </c>
    </row>
    <row r="18">
      <c r="A18" s="20">
        <v>45950.0</v>
      </c>
      <c r="B18" s="21">
        <f>vlookup(A18,combine!A17:E71,4,0)</f>
        <v>-0.05564069315</v>
      </c>
      <c r="C18" s="21">
        <f>vlookup(A18,combine!A17:E71,5,0)</f>
        <v>-0.01533333333</v>
      </c>
    </row>
    <row r="19">
      <c r="A19" s="20">
        <v>45943.0</v>
      </c>
      <c r="B19" s="21">
        <f>vlookup(A19,combine!A18:E72,4,0)</f>
        <v>0.1219415421</v>
      </c>
      <c r="C19" s="21">
        <f>vlookup(A19,combine!A18:E72,5,0)</f>
        <v>0.02599179207</v>
      </c>
    </row>
    <row r="20">
      <c r="A20" s="20">
        <v>45936.0</v>
      </c>
      <c r="B20" s="21">
        <f>vlookup(A20,combine!A19:E73,4,0)</f>
        <v>0.01900269542</v>
      </c>
      <c r="C20" s="21">
        <f>vlookup(A20,combine!A19:E73,5,0)</f>
        <v>-0.07233502538</v>
      </c>
    </row>
    <row r="21">
      <c r="A21" s="20">
        <v>45929.0</v>
      </c>
      <c r="B21" s="21">
        <f>vlookup(A21,combine!A20:E74,4,0)</f>
        <v>0.04301377565</v>
      </c>
      <c r="C21" s="21">
        <f>vlookup(A21,combine!A20:E74,5,0)</f>
        <v>-0.0174563591</v>
      </c>
    </row>
    <row r="22">
      <c r="A22" s="20">
        <v>45922.0</v>
      </c>
      <c r="B22" s="21">
        <f>vlookup(A22,combine!A21:E75,4,0)</f>
        <v>-0.0176746755</v>
      </c>
      <c r="C22" s="21">
        <f>vlookup(A22,combine!A21:E75,5,0)</f>
        <v>0.0119873817</v>
      </c>
    </row>
    <row r="23">
      <c r="A23" s="20">
        <v>45915.0</v>
      </c>
      <c r="B23" s="21">
        <f>vlookup(A23,combine!A22:E76,4,0)</f>
        <v>-0.00767333516</v>
      </c>
      <c r="C23" s="21">
        <f>vlookup(A23,combine!A22:E76,5,0)</f>
        <v>0.01798330122</v>
      </c>
    </row>
    <row r="24">
      <c r="A24" s="20">
        <v>45908.0</v>
      </c>
      <c r="B24" s="21">
        <f>vlookup(A24,combine!A23:E77,4,0)</f>
        <v>-0.03222384299</v>
      </c>
      <c r="C24" s="21">
        <f>vlookup(A24,combine!A23:E77,5,0)</f>
        <v>0.01964636542</v>
      </c>
    </row>
    <row r="25">
      <c r="A25" s="20">
        <v>45901.0</v>
      </c>
      <c r="B25" s="21">
        <f>vlookup(A25,combine!A24:E78,4,0)</f>
        <v>0.0002652871734</v>
      </c>
      <c r="C25" s="21">
        <f>vlookup(A25,combine!A24:E78,5,0)</f>
        <v>-0.001308044474</v>
      </c>
    </row>
    <row r="26">
      <c r="A26" s="20">
        <v>45894.0</v>
      </c>
      <c r="B26" s="21">
        <f>vlookup(A26,combine!A25:E79,4,0)</f>
        <v>0.000398089172</v>
      </c>
      <c r="C26" s="21">
        <f>vlookup(A26,combine!A25:E79,5,0)</f>
        <v>-0.01987179487</v>
      </c>
    </row>
    <row r="27">
      <c r="A27" s="20">
        <v>45887.0</v>
      </c>
      <c r="B27" s="21">
        <f>vlookup(A27,combine!A26:E80,4,0)</f>
        <v>0.0417473044</v>
      </c>
      <c r="C27" s="21">
        <f>vlookup(A27,combine!A26:E80,5,0)</f>
        <v>-0.01886792453</v>
      </c>
    </row>
    <row r="28">
      <c r="A28" s="20">
        <v>45880.0</v>
      </c>
      <c r="B28" s="21">
        <f>vlookup(A28,combine!A27:E81,4,0)</f>
        <v>0.003328710125</v>
      </c>
      <c r="C28" s="21">
        <f>vlookup(A28,combine!A27:E81,5,0)</f>
        <v>0.09203296703</v>
      </c>
    </row>
    <row r="29">
      <c r="A29" s="20">
        <v>45873.0</v>
      </c>
      <c r="B29" s="21">
        <f>vlookup(A29,combine!A28:E82,4,0)</f>
        <v>0.01406469761</v>
      </c>
      <c r="C29" s="21">
        <f>vlookup(A29,combine!A28:E82,5,0)</f>
        <v>0.04597701149</v>
      </c>
    </row>
    <row r="30">
      <c r="A30" s="20">
        <v>45866.0</v>
      </c>
      <c r="B30" s="21">
        <f>vlookup(A30,combine!A29:E83,4,0)</f>
        <v>-0.03027823241</v>
      </c>
      <c r="C30" s="21">
        <f>vlookup(A30,combine!A29:E83,5,0)</f>
        <v>-0.05112474438</v>
      </c>
    </row>
    <row r="31">
      <c r="A31" s="20">
        <v>45859.0</v>
      </c>
      <c r="B31" s="21">
        <f>vlookup(A31,combine!A30:E84,4,0)</f>
        <v>-0.0566134843</v>
      </c>
      <c r="C31" s="21">
        <f>vlookup(A31,combine!A30:E84,5,0)</f>
        <v>0.1038374718</v>
      </c>
    </row>
    <row r="32">
      <c r="A32" s="20">
        <v>45852.0</v>
      </c>
      <c r="B32" s="21">
        <f>vlookup(A32,combine!A31:E85,4,0)</f>
        <v>0.009481750877</v>
      </c>
      <c r="C32" s="21">
        <f>vlookup(A32,combine!A31:E85,5,0)</f>
        <v>-0.0292184076</v>
      </c>
    </row>
    <row r="33">
      <c r="A33" s="20">
        <v>45845.0</v>
      </c>
      <c r="B33" s="21">
        <f>vlookup(A33,combine!A32:E86,4,0)</f>
        <v>-0.02876245742</v>
      </c>
      <c r="C33" s="21">
        <f>vlookup(A33,combine!A32:E86,5,0)</f>
        <v>-0.01934097421</v>
      </c>
    </row>
    <row r="34">
      <c r="A34" s="20">
        <v>45838.0</v>
      </c>
      <c r="B34" s="21">
        <f>vlookup(A34,combine!A33:E87,4,0)</f>
        <v>-0.0002522386177</v>
      </c>
      <c r="C34" s="21">
        <f>vlookup(A34,combine!A33:E87,5,0)</f>
        <v>0.005039596832</v>
      </c>
    </row>
    <row r="35">
      <c r="A35" s="20">
        <v>45831.0</v>
      </c>
      <c r="B35" s="21">
        <f>vlookup(A35,combine!A34:E88,4,0)</f>
        <v>-0.02759381898</v>
      </c>
      <c r="C35" s="21">
        <f>vlookup(A35,combine!A34:E88,5,0)</f>
        <v>0.0281273131</v>
      </c>
    </row>
    <row r="36">
      <c r="A36" s="20">
        <v>45824.0</v>
      </c>
      <c r="B36" s="21">
        <f>vlookup(A36,combine!A35:E89,4,0)</f>
        <v>-0.03216617211</v>
      </c>
      <c r="C36" s="21">
        <f>vlookup(A36,combine!A35:E89,5,0)</f>
        <v>-0.007347538575</v>
      </c>
    </row>
    <row r="37">
      <c r="A37" s="20">
        <v>45817.0</v>
      </c>
      <c r="B37" s="21">
        <f>vlookup(A37,combine!A36:E90,4,0)</f>
        <v>-0.02825836217</v>
      </c>
      <c r="C37" s="21">
        <f>vlookup(A37,combine!A36:E90,5,0)</f>
        <v>-0.01661849711</v>
      </c>
    </row>
    <row r="38">
      <c r="A38" s="20">
        <v>45810.0</v>
      </c>
      <c r="B38" s="21">
        <f>vlookup(A38,combine!A37:E91,4,0)</f>
        <v>-0.01140250855</v>
      </c>
      <c r="C38" s="21">
        <f>vlookup(A38,combine!A37:E91,5,0)</f>
        <v>-0.01983002833</v>
      </c>
    </row>
    <row r="39">
      <c r="A39" s="20">
        <v>45803.0</v>
      </c>
      <c r="B39" s="21">
        <f>vlookup(A39,combine!A38:E92,4,0)</f>
        <v>-0.00926344329</v>
      </c>
      <c r="C39" s="21">
        <f>vlookup(A39,combine!A38:E92,5,0)</f>
        <v>0.04283604136</v>
      </c>
    </row>
    <row r="40">
      <c r="A40" s="20">
        <v>45796.0</v>
      </c>
      <c r="B40" s="21">
        <f>vlookup(A40,combine!A39:E93,4,0)</f>
        <v>0.0235892692</v>
      </c>
      <c r="C40" s="21">
        <f>vlookup(A40,combine!A39:E93,5,0)</f>
        <v>0</v>
      </c>
    </row>
    <row r="41">
      <c r="A41" s="20">
        <v>45789.0</v>
      </c>
      <c r="B41" s="21">
        <f>vlookup(A41,combine!A40:E94,4,0)</f>
        <v>-0.01334854535</v>
      </c>
      <c r="C41" s="21">
        <f>vlookup(A41,combine!A40:E94,5,0)</f>
        <v>0.08060654429</v>
      </c>
    </row>
    <row r="42">
      <c r="A42" s="20">
        <v>45782.0</v>
      </c>
      <c r="B42" s="21">
        <f>vlookup(A42,combine!A41:E95,4,0)</f>
        <v>0.0005707762557</v>
      </c>
      <c r="C42" s="21">
        <f>vlookup(A42,combine!A41:E95,5,0)</f>
        <v>0.01869918699</v>
      </c>
    </row>
    <row r="43">
      <c r="A43" s="20">
        <v>45775.0</v>
      </c>
      <c r="B43" s="21">
        <f>vlookup(A43,combine!A42:E96,4,0)</f>
        <v>0.06152223151</v>
      </c>
      <c r="C43" s="21">
        <f>vlookup(A43,combine!A42:E96,5,0)</f>
        <v>0.002444987775</v>
      </c>
    </row>
    <row r="44">
      <c r="A44" s="20">
        <v>45768.0</v>
      </c>
      <c r="B44" s="21">
        <f>vlookup(A44,combine!A43:E97,4,0)</f>
        <v>-0.002228500184</v>
      </c>
      <c r="C44" s="21">
        <f>vlookup(A44,combine!A43:E97,5,0)</f>
        <v>0.03369839933</v>
      </c>
    </row>
    <row r="45">
      <c r="A45" s="20">
        <v>45761.0</v>
      </c>
      <c r="B45" s="21">
        <f>vlookup(A45,combine!A44:E98,4,0)</f>
        <v>-0.002223545014</v>
      </c>
      <c r="C45" s="21">
        <f>vlookup(A45,combine!A44:E98,5,0)</f>
        <v>0.02415875755</v>
      </c>
    </row>
    <row r="46">
      <c r="A46" s="20">
        <v>45754.0</v>
      </c>
      <c r="B46" s="21">
        <f>vlookup(A46,combine!A45:E99,4,0)</f>
        <v>-0.002218611831</v>
      </c>
      <c r="C46" s="21">
        <f>vlookup(A46,combine!A45:E99,5,0)</f>
        <v>0.06820276498</v>
      </c>
    </row>
    <row r="47">
      <c r="A47" s="20">
        <v>45747.0</v>
      </c>
      <c r="B47" s="21">
        <f>vlookup(A47,combine!A46:E100,4,0)</f>
        <v>-0.002213700489</v>
      </c>
      <c r="C47" s="21">
        <f>vlookup(A47,combine!A46:E100,5,0)</f>
        <v>-0.2086068563</v>
      </c>
    </row>
    <row r="48">
      <c r="A48" s="20">
        <v>45740.0</v>
      </c>
      <c r="B48" s="21">
        <f>vlookup(A48,combine!A47:E101,4,0)</f>
        <v>-0.002208810843</v>
      </c>
      <c r="C48" s="21">
        <f>vlookup(A48,combine!A47:E101,5,0)</f>
        <v>-0.06671204901</v>
      </c>
    </row>
    <row r="49">
      <c r="A49" s="20">
        <v>45733.0</v>
      </c>
      <c r="B49" s="21">
        <f>vlookup(A49,combine!A48:E102,4,0)</f>
        <v>-0.00220394275</v>
      </c>
      <c r="C49" s="21">
        <f>vlookup(A49,combine!A48:E102,5,0)</f>
        <v>0.09626865672</v>
      </c>
    </row>
    <row r="50">
      <c r="A50" s="20">
        <v>45726.0</v>
      </c>
      <c r="B50" s="21">
        <f>vlookup(A50,combine!A49:E103,4,0)</f>
        <v>-0.002199096068</v>
      </c>
      <c r="C50" s="21">
        <f>vlookup(A50,combine!A49:E103,5,0)</f>
        <v>0.04933437745</v>
      </c>
    </row>
    <row r="51">
      <c r="A51" s="20">
        <v>45719.0</v>
      </c>
      <c r="B51" s="21">
        <f>vlookup(A51,combine!A50:E104,4,0)</f>
        <v>-0.002194270656</v>
      </c>
      <c r="C51" s="21">
        <f>vlookup(A51,combine!A50:E104,5,0)</f>
        <v>0.02241793435</v>
      </c>
    </row>
    <row r="52">
      <c r="A52" s="20">
        <v>45712.0</v>
      </c>
      <c r="B52" s="21">
        <f>vlookup(A52,combine!A51:E105,4,0)</f>
        <v>-0.002189466375</v>
      </c>
      <c r="C52" s="21">
        <f>vlookup(A52,combine!A51:E105,5,0)</f>
        <v>0.007258064516</v>
      </c>
    </row>
    <row r="53">
      <c r="A53" s="20">
        <v>45705.0</v>
      </c>
      <c r="B53" s="21">
        <f>vlookup(A53,combine!A52:E106,4,0)</f>
        <v>-0.002184683084</v>
      </c>
      <c r="C53" s="21">
        <f>vlookup(A53,combine!A52:E106,5,0)</f>
        <v>-0.0127388535</v>
      </c>
    </row>
    <row r="54">
      <c r="A54" s="20">
        <v>45698.0</v>
      </c>
      <c r="B54" s="21">
        <f>vlookup(A54,combine!A53:E107,4,0)</f>
        <v>0.1277387179</v>
      </c>
      <c r="C54" s="21">
        <f>vlookup(A54,combine!A53:E107,5,0)</f>
        <v>0.02113821138</v>
      </c>
    </row>
    <row r="55">
      <c r="A55" s="20"/>
      <c r="B55" s="21"/>
      <c r="C55" s="21"/>
    </row>
    <row r="56">
      <c r="A56" s="24"/>
      <c r="B56" s="21"/>
      <c r="C56" s="21"/>
    </row>
    <row r="57">
      <c r="A57" s="24"/>
      <c r="B57" s="21"/>
      <c r="C57" s="21"/>
    </row>
    <row r="58">
      <c r="A58" s="24"/>
      <c r="B58" s="21"/>
      <c r="C58" s="21"/>
    </row>
    <row r="59">
      <c r="A59" s="24"/>
      <c r="B59" s="21"/>
      <c r="C59" s="21"/>
    </row>
    <row r="60">
      <c r="A60" s="24"/>
      <c r="B60" s="21"/>
      <c r="C60" s="21"/>
    </row>
    <row r="61">
      <c r="A61" s="24"/>
      <c r="B61" s="21"/>
      <c r="C61" s="21"/>
    </row>
    <row r="62">
      <c r="A62" s="24"/>
      <c r="B62" s="21"/>
      <c r="C62" s="21"/>
    </row>
    <row r="63">
      <c r="A63" s="24"/>
      <c r="B63" s="21"/>
      <c r="C63" s="21"/>
    </row>
    <row r="64">
      <c r="A64" s="24"/>
      <c r="B64" s="21"/>
      <c r="C64" s="21"/>
    </row>
    <row r="65">
      <c r="A65" s="24"/>
      <c r="B65" s="21"/>
      <c r="C65" s="21"/>
    </row>
    <row r="66">
      <c r="A66" s="24"/>
      <c r="B66" s="21"/>
      <c r="C66" s="21"/>
    </row>
    <row r="67">
      <c r="A67" s="24"/>
      <c r="B67" s="21"/>
      <c r="C67" s="21"/>
    </row>
    <row r="68">
      <c r="A68" s="24"/>
      <c r="B68" s="21"/>
      <c r="C68" s="21"/>
    </row>
    <row r="69">
      <c r="A69" s="24"/>
      <c r="B69" s="21"/>
      <c r="C69" s="21"/>
    </row>
    <row r="70">
      <c r="A70" s="24"/>
      <c r="B70" s="21"/>
      <c r="C70" s="21"/>
    </row>
    <row r="71">
      <c r="A71" s="24"/>
      <c r="B71" s="21"/>
      <c r="C71" s="21"/>
    </row>
    <row r="72">
      <c r="A72" s="24"/>
      <c r="B72" s="21"/>
      <c r="C72" s="21"/>
    </row>
    <row r="73">
      <c r="A73" s="24"/>
      <c r="B73" s="21"/>
      <c r="C73" s="21"/>
    </row>
    <row r="74">
      <c r="A74" s="24"/>
      <c r="B74" s="21"/>
      <c r="C74" s="21"/>
    </row>
    <row r="75">
      <c r="A75" s="24"/>
      <c r="B75" s="21"/>
      <c r="C75" s="21"/>
    </row>
    <row r="76">
      <c r="A76" s="24"/>
      <c r="B76" s="21"/>
      <c r="C76" s="21"/>
    </row>
    <row r="77">
      <c r="A77" s="24"/>
      <c r="B77" s="21"/>
      <c r="C77" s="21"/>
    </row>
    <row r="78">
      <c r="A78" s="24"/>
      <c r="B78" s="21"/>
      <c r="C78" s="21"/>
    </row>
    <row r="79">
      <c r="A79" s="24"/>
      <c r="B79" s="21"/>
      <c r="C79" s="21"/>
    </row>
    <row r="80">
      <c r="A80" s="24"/>
      <c r="B80" s="21"/>
      <c r="C80" s="21"/>
    </row>
    <row r="81">
      <c r="A81" s="24"/>
      <c r="B81" s="21"/>
      <c r="C81" s="21"/>
    </row>
    <row r="82">
      <c r="A82" s="24"/>
      <c r="B82" s="21"/>
      <c r="C82" s="21"/>
    </row>
    <row r="83">
      <c r="A83" s="24"/>
      <c r="B83" s="21"/>
      <c r="C83" s="21"/>
    </row>
    <row r="84">
      <c r="A84" s="24"/>
      <c r="B84" s="21"/>
      <c r="C84" s="21"/>
    </row>
    <row r="85">
      <c r="A85" s="24"/>
      <c r="B85" s="21"/>
      <c r="C85" s="21"/>
    </row>
    <row r="86">
      <c r="A86" s="24"/>
      <c r="B86" s="21"/>
      <c r="C86" s="21"/>
    </row>
    <row r="87">
      <c r="A87" s="24"/>
      <c r="B87" s="21"/>
      <c r="C87" s="21"/>
    </row>
    <row r="88">
      <c r="A88" s="24"/>
      <c r="B88" s="21"/>
      <c r="C88" s="21"/>
    </row>
    <row r="89">
      <c r="A89" s="24"/>
      <c r="B89" s="21"/>
      <c r="C89" s="21"/>
    </row>
    <row r="90">
      <c r="A90" s="24"/>
      <c r="B90" s="21"/>
      <c r="C90" s="21"/>
    </row>
    <row r="91">
      <c r="A91" s="24"/>
      <c r="B91" s="21"/>
      <c r="C91" s="21"/>
    </row>
    <row r="92">
      <c r="A92" s="24"/>
      <c r="B92" s="21"/>
      <c r="C92" s="21"/>
    </row>
    <row r="93">
      <c r="A93" s="24"/>
      <c r="B93" s="21"/>
      <c r="C93" s="21"/>
    </row>
    <row r="94">
      <c r="A94" s="24"/>
      <c r="B94" s="21"/>
      <c r="C94" s="21"/>
    </row>
    <row r="95">
      <c r="A95" s="24"/>
      <c r="B95" s="21"/>
      <c r="C95" s="21"/>
    </row>
    <row r="96">
      <c r="A96" s="24"/>
      <c r="B96" s="21"/>
      <c r="C96" s="21"/>
    </row>
    <row r="97">
      <c r="A97" s="24"/>
      <c r="B97" s="21"/>
      <c r="C97" s="21"/>
    </row>
    <row r="98">
      <c r="A98" s="24"/>
      <c r="B98" s="21"/>
      <c r="C98" s="21"/>
    </row>
    <row r="99">
      <c r="A99" s="24"/>
      <c r="B99" s="21"/>
      <c r="C99" s="21"/>
    </row>
    <row r="100">
      <c r="A100" s="24"/>
      <c r="B100" s="21"/>
      <c r="C100" s="21"/>
    </row>
    <row r="101">
      <c r="A101" s="24"/>
      <c r="B101" s="21"/>
      <c r="C101" s="21"/>
    </row>
    <row r="102">
      <c r="A102" s="24"/>
      <c r="B102" s="21"/>
      <c r="C102" s="21"/>
    </row>
    <row r="103">
      <c r="A103" s="24"/>
      <c r="B103" s="21"/>
      <c r="C103" s="21"/>
    </row>
    <row r="104">
      <c r="A104" s="24"/>
      <c r="B104" s="21"/>
      <c r="C104" s="21"/>
    </row>
    <row r="105">
      <c r="A105" s="24"/>
      <c r="B105" s="21"/>
      <c r="C105" s="21"/>
    </row>
    <row r="106">
      <c r="A106" s="24"/>
      <c r="B106" s="21"/>
      <c r="C106" s="21"/>
    </row>
    <row r="107">
      <c r="A107" s="24"/>
      <c r="B107" s="21"/>
      <c r="C107" s="21"/>
    </row>
    <row r="108">
      <c r="A108" s="24"/>
      <c r="B108" s="21"/>
      <c r="C108" s="21"/>
    </row>
    <row r="109">
      <c r="A109" s="24"/>
      <c r="B109" s="21"/>
      <c r="C109" s="21"/>
    </row>
    <row r="110">
      <c r="A110" s="24"/>
      <c r="B110" s="21"/>
      <c r="C110" s="21"/>
    </row>
    <row r="111">
      <c r="A111" s="24"/>
      <c r="B111" s="21"/>
      <c r="C111" s="21"/>
    </row>
    <row r="112">
      <c r="A112" s="24"/>
      <c r="B112" s="21"/>
      <c r="C112" s="21"/>
    </row>
    <row r="113">
      <c r="A113" s="24"/>
      <c r="B113" s="21"/>
      <c r="C113" s="21"/>
    </row>
    <row r="114">
      <c r="A114" s="24"/>
      <c r="B114" s="21"/>
      <c r="C114" s="21"/>
    </row>
    <row r="115">
      <c r="A115" s="24"/>
      <c r="B115" s="21"/>
      <c r="C115" s="21"/>
    </row>
    <row r="116">
      <c r="A116" s="24"/>
      <c r="B116" s="21"/>
      <c r="C116" s="21"/>
    </row>
    <row r="117">
      <c r="A117" s="24"/>
      <c r="B117" s="21"/>
      <c r="C117" s="21"/>
    </row>
    <row r="118">
      <c r="A118" s="24"/>
      <c r="B118" s="21"/>
      <c r="C118" s="21"/>
    </row>
    <row r="119">
      <c r="A119" s="24"/>
      <c r="B119" s="21"/>
      <c r="C119" s="21"/>
    </row>
    <row r="120">
      <c r="A120" s="24"/>
      <c r="B120" s="21"/>
      <c r="C120" s="21"/>
    </row>
    <row r="121">
      <c r="A121" s="24"/>
      <c r="B121" s="21"/>
      <c r="C121" s="21"/>
    </row>
    <row r="122">
      <c r="A122" s="24"/>
      <c r="B122" s="21"/>
      <c r="C122" s="21"/>
    </row>
    <row r="123">
      <c r="A123" s="24"/>
      <c r="B123" s="21"/>
      <c r="C123" s="21"/>
    </row>
    <row r="124">
      <c r="A124" s="24"/>
      <c r="B124" s="21"/>
      <c r="C124" s="21"/>
    </row>
    <row r="125">
      <c r="A125" s="24"/>
      <c r="B125" s="21"/>
      <c r="C125" s="21"/>
    </row>
    <row r="126">
      <c r="A126" s="24"/>
      <c r="B126" s="21"/>
      <c r="C126" s="21"/>
    </row>
    <row r="127">
      <c r="A127" s="24"/>
      <c r="B127" s="21"/>
      <c r="C127" s="21"/>
    </row>
    <row r="128">
      <c r="A128" s="24"/>
      <c r="B128" s="21"/>
      <c r="C128" s="21"/>
    </row>
    <row r="129">
      <c r="A129" s="24"/>
      <c r="B129" s="21"/>
      <c r="C129" s="21"/>
    </row>
    <row r="130">
      <c r="A130" s="24"/>
      <c r="B130" s="21"/>
      <c r="C130" s="21"/>
    </row>
    <row r="131">
      <c r="A131" s="24"/>
      <c r="B131" s="21"/>
      <c r="C131" s="21"/>
    </row>
    <row r="132">
      <c r="A132" s="24"/>
      <c r="B132" s="21"/>
      <c r="C132" s="21"/>
    </row>
    <row r="133">
      <c r="A133" s="24"/>
      <c r="B133" s="21"/>
      <c r="C133" s="21"/>
    </row>
    <row r="134">
      <c r="A134" s="24"/>
      <c r="B134" s="21"/>
      <c r="C134" s="21"/>
    </row>
    <row r="135">
      <c r="A135" s="24"/>
      <c r="B135" s="21"/>
      <c r="C135" s="21"/>
    </row>
    <row r="136">
      <c r="A136" s="24"/>
      <c r="B136" s="21"/>
      <c r="C136" s="21"/>
    </row>
    <row r="137">
      <c r="A137" s="24"/>
      <c r="B137" s="21"/>
      <c r="C137" s="21"/>
    </row>
    <row r="138">
      <c r="A138" s="24"/>
      <c r="B138" s="21"/>
      <c r="C138" s="21"/>
    </row>
    <row r="139">
      <c r="A139" s="24"/>
      <c r="B139" s="21"/>
      <c r="C139" s="21"/>
    </row>
    <row r="140">
      <c r="A140" s="24"/>
      <c r="B140" s="21"/>
      <c r="C140" s="21"/>
    </row>
    <row r="141">
      <c r="A141" s="24"/>
      <c r="B141" s="21"/>
      <c r="C141" s="21"/>
    </row>
    <row r="142">
      <c r="A142" s="24"/>
      <c r="B142" s="21"/>
      <c r="C142" s="21"/>
    </row>
    <row r="143">
      <c r="A143" s="24"/>
      <c r="B143" s="21"/>
      <c r="C143" s="21"/>
    </row>
    <row r="144">
      <c r="A144" s="24"/>
      <c r="B144" s="21"/>
      <c r="C144" s="21"/>
    </row>
    <row r="145">
      <c r="A145" s="24"/>
      <c r="B145" s="21"/>
      <c r="C145" s="21"/>
    </row>
    <row r="146">
      <c r="A146" s="24"/>
      <c r="B146" s="21"/>
      <c r="C146" s="21"/>
    </row>
    <row r="147">
      <c r="A147" s="24"/>
      <c r="B147" s="21"/>
      <c r="C147" s="21"/>
    </row>
    <row r="148">
      <c r="A148" s="24"/>
      <c r="B148" s="21"/>
      <c r="C148" s="21"/>
    </row>
    <row r="149">
      <c r="A149" s="24"/>
      <c r="B149" s="21"/>
      <c r="C149" s="21"/>
    </row>
    <row r="150">
      <c r="A150" s="24"/>
      <c r="B150" s="21"/>
      <c r="C150" s="21"/>
    </row>
    <row r="151">
      <c r="A151" s="24"/>
      <c r="B151" s="21"/>
      <c r="C151" s="21"/>
    </row>
    <row r="152">
      <c r="A152" s="24"/>
      <c r="B152" s="21"/>
      <c r="C152" s="21"/>
    </row>
    <row r="153">
      <c r="A153" s="24"/>
      <c r="B153" s="21"/>
      <c r="C153" s="21"/>
    </row>
    <row r="154">
      <c r="A154" s="24"/>
      <c r="B154" s="21"/>
      <c r="C154" s="21"/>
    </row>
    <row r="155">
      <c r="A155" s="24"/>
      <c r="B155" s="21"/>
      <c r="C155" s="21"/>
    </row>
    <row r="156">
      <c r="A156" s="24"/>
      <c r="B156" s="21"/>
      <c r="C156" s="21"/>
    </row>
    <row r="157">
      <c r="A157" s="24"/>
      <c r="B157" s="21"/>
      <c r="C157" s="21"/>
    </row>
    <row r="158">
      <c r="A158" s="24"/>
      <c r="B158" s="21"/>
      <c r="C158" s="21"/>
    </row>
    <row r="159">
      <c r="A159" s="24"/>
      <c r="B159" s="21"/>
      <c r="C159" s="21"/>
    </row>
    <row r="160">
      <c r="A160" s="24"/>
      <c r="B160" s="21"/>
      <c r="C160" s="21"/>
    </row>
    <row r="161">
      <c r="A161" s="24"/>
      <c r="B161" s="21"/>
      <c r="C161" s="21"/>
    </row>
    <row r="162">
      <c r="A162" s="24"/>
      <c r="B162" s="21"/>
      <c r="C162" s="21"/>
    </row>
    <row r="163">
      <c r="A163" s="24"/>
      <c r="B163" s="21"/>
      <c r="C163" s="21"/>
    </row>
    <row r="164">
      <c r="A164" s="24"/>
      <c r="B164" s="21"/>
      <c r="C164" s="21"/>
    </row>
    <row r="165">
      <c r="A165" s="24"/>
      <c r="B165" s="21"/>
      <c r="C165" s="21"/>
    </row>
    <row r="166">
      <c r="A166" s="24"/>
      <c r="B166" s="21"/>
      <c r="C166" s="21"/>
    </row>
    <row r="167">
      <c r="A167" s="24"/>
      <c r="B167" s="21"/>
      <c r="C167" s="21"/>
    </row>
    <row r="168">
      <c r="A168" s="24"/>
      <c r="B168" s="21"/>
      <c r="C168" s="21"/>
    </row>
    <row r="169">
      <c r="A169" s="24"/>
      <c r="B169" s="21"/>
      <c r="C169" s="21"/>
    </row>
    <row r="170">
      <c r="A170" s="24"/>
      <c r="B170" s="21"/>
      <c r="C170" s="21"/>
    </row>
    <row r="171">
      <c r="A171" s="24"/>
      <c r="B171" s="21"/>
      <c r="C171" s="21"/>
    </row>
    <row r="172">
      <c r="A172" s="24"/>
      <c r="B172" s="21"/>
      <c r="C172" s="21"/>
    </row>
    <row r="173">
      <c r="A173" s="24"/>
      <c r="B173" s="21"/>
      <c r="C173" s="21"/>
    </row>
    <row r="174">
      <c r="A174" s="24"/>
      <c r="B174" s="21"/>
      <c r="C174" s="21"/>
    </row>
    <row r="175">
      <c r="A175" s="24"/>
      <c r="B175" s="21"/>
      <c r="C175" s="21"/>
    </row>
    <row r="176">
      <c r="A176" s="24"/>
      <c r="B176" s="21"/>
      <c r="C176" s="21"/>
    </row>
    <row r="177">
      <c r="A177" s="24"/>
      <c r="B177" s="21"/>
      <c r="C177" s="21"/>
    </row>
    <row r="178">
      <c r="A178" s="24"/>
      <c r="B178" s="21"/>
      <c r="C178" s="21"/>
    </row>
    <row r="179">
      <c r="A179" s="24"/>
      <c r="B179" s="21"/>
      <c r="C179" s="21"/>
    </row>
    <row r="180">
      <c r="A180" s="24"/>
      <c r="B180" s="21"/>
      <c r="C180" s="21"/>
    </row>
    <row r="181">
      <c r="A181" s="24"/>
      <c r="B181" s="21"/>
      <c r="C181" s="21"/>
    </row>
    <row r="182">
      <c r="A182" s="24"/>
      <c r="B182" s="21"/>
      <c r="C182" s="21"/>
    </row>
    <row r="183">
      <c r="A183" s="24"/>
      <c r="B183" s="21"/>
      <c r="C183" s="21"/>
    </row>
    <row r="184">
      <c r="A184" s="24"/>
      <c r="B184" s="21"/>
      <c r="C184" s="21"/>
    </row>
    <row r="185">
      <c r="A185" s="24"/>
      <c r="B185" s="21"/>
      <c r="C185" s="21"/>
    </row>
    <row r="186">
      <c r="A186" s="24"/>
      <c r="B186" s="21"/>
      <c r="C186" s="21"/>
    </row>
    <row r="187">
      <c r="A187" s="24"/>
      <c r="B187" s="21"/>
      <c r="C187" s="21"/>
    </row>
    <row r="188">
      <c r="A188" s="24"/>
      <c r="B188" s="21"/>
      <c r="C188" s="21"/>
    </row>
    <row r="189">
      <c r="A189" s="24"/>
      <c r="B189" s="21"/>
      <c r="C189" s="21"/>
    </row>
    <row r="190">
      <c r="A190" s="24"/>
      <c r="B190" s="21"/>
      <c r="C190" s="21"/>
    </row>
    <row r="191">
      <c r="A191" s="24"/>
      <c r="B191" s="21"/>
      <c r="C191" s="21"/>
    </row>
    <row r="192">
      <c r="A192" s="24"/>
      <c r="B192" s="21"/>
      <c r="C192" s="21"/>
    </row>
    <row r="193">
      <c r="A193" s="24"/>
      <c r="B193" s="21"/>
      <c r="C193" s="21"/>
    </row>
    <row r="194">
      <c r="A194" s="24"/>
      <c r="B194" s="21"/>
      <c r="C194" s="21"/>
    </row>
    <row r="195">
      <c r="A195" s="24"/>
      <c r="B195" s="21"/>
      <c r="C195" s="21"/>
    </row>
    <row r="196">
      <c r="A196" s="24"/>
      <c r="B196" s="21"/>
      <c r="C196" s="21"/>
    </row>
    <row r="197">
      <c r="A197" s="24"/>
      <c r="B197" s="21"/>
      <c r="C197" s="21"/>
    </row>
    <row r="198">
      <c r="A198" s="24"/>
      <c r="B198" s="21"/>
      <c r="C198" s="21"/>
    </row>
    <row r="199">
      <c r="A199" s="24"/>
      <c r="B199" s="21"/>
      <c r="C199" s="21"/>
    </row>
    <row r="200">
      <c r="A200" s="24"/>
      <c r="B200" s="21"/>
      <c r="C200" s="21"/>
    </row>
    <row r="201">
      <c r="A201" s="24"/>
      <c r="B201" s="21"/>
      <c r="C201" s="21"/>
    </row>
    <row r="202">
      <c r="A202" s="24"/>
      <c r="B202" s="21"/>
      <c r="C202" s="21"/>
    </row>
    <row r="203">
      <c r="A203" s="24"/>
      <c r="B203" s="21"/>
      <c r="C203" s="21"/>
    </row>
    <row r="204">
      <c r="A204" s="24"/>
      <c r="B204" s="21"/>
      <c r="C204" s="21"/>
    </row>
    <row r="205">
      <c r="A205" s="24"/>
      <c r="B205" s="21"/>
      <c r="C205" s="21"/>
    </row>
    <row r="206">
      <c r="A206" s="24"/>
      <c r="B206" s="21"/>
      <c r="C206" s="21"/>
    </row>
    <row r="207">
      <c r="A207" s="24"/>
      <c r="B207" s="21"/>
      <c r="C207" s="21"/>
    </row>
    <row r="208">
      <c r="A208" s="24"/>
      <c r="B208" s="21"/>
      <c r="C208" s="21"/>
    </row>
    <row r="209">
      <c r="A209" s="24"/>
      <c r="B209" s="21"/>
      <c r="C209" s="21"/>
    </row>
    <row r="210">
      <c r="A210" s="24"/>
      <c r="B210" s="21"/>
      <c r="C210" s="21"/>
    </row>
    <row r="211">
      <c r="A211" s="24"/>
      <c r="B211" s="21"/>
      <c r="C211" s="21"/>
    </row>
    <row r="212">
      <c r="A212" s="24"/>
      <c r="B212" s="21"/>
      <c r="C212" s="21"/>
    </row>
    <row r="213">
      <c r="A213" s="24"/>
      <c r="B213" s="21"/>
      <c r="C213" s="21"/>
    </row>
    <row r="214">
      <c r="A214" s="24"/>
      <c r="B214" s="21"/>
      <c r="C214" s="21"/>
    </row>
    <row r="215">
      <c r="A215" s="24"/>
      <c r="B215" s="21"/>
      <c r="C215" s="21"/>
    </row>
    <row r="216">
      <c r="A216" s="24"/>
      <c r="B216" s="21"/>
      <c r="C216" s="21"/>
    </row>
    <row r="217">
      <c r="A217" s="24"/>
      <c r="B217" s="21"/>
      <c r="C217" s="21"/>
    </row>
    <row r="218">
      <c r="A218" s="24"/>
      <c r="B218" s="21"/>
      <c r="C218" s="21"/>
    </row>
    <row r="219">
      <c r="A219" s="24"/>
      <c r="B219" s="21"/>
      <c r="C219" s="21"/>
    </row>
    <row r="220">
      <c r="A220" s="24"/>
      <c r="B220" s="21"/>
      <c r="C220" s="21"/>
    </row>
    <row r="221">
      <c r="A221" s="24"/>
      <c r="B221" s="21"/>
      <c r="C221" s="21"/>
    </row>
    <row r="222">
      <c r="A222" s="24"/>
      <c r="B222" s="21"/>
      <c r="C222" s="21"/>
    </row>
    <row r="223">
      <c r="A223" s="24"/>
      <c r="B223" s="21"/>
      <c r="C223" s="21"/>
    </row>
    <row r="224">
      <c r="A224" s="24"/>
      <c r="B224" s="21"/>
      <c r="C224" s="21"/>
    </row>
    <row r="225">
      <c r="A225" s="24"/>
      <c r="B225" s="21"/>
      <c r="C225" s="21"/>
    </row>
    <row r="226">
      <c r="A226" s="24"/>
      <c r="B226" s="21"/>
      <c r="C226" s="21"/>
    </row>
    <row r="227">
      <c r="A227" s="24"/>
      <c r="B227" s="21"/>
      <c r="C227" s="21"/>
    </row>
    <row r="228">
      <c r="A228" s="24"/>
      <c r="B228" s="21"/>
      <c r="C228" s="21"/>
    </row>
    <row r="229">
      <c r="A229" s="24"/>
      <c r="B229" s="21"/>
      <c r="C229" s="21"/>
    </row>
    <row r="230">
      <c r="A230" s="24"/>
      <c r="B230" s="21"/>
      <c r="C230" s="21"/>
    </row>
    <row r="231">
      <c r="A231" s="24"/>
      <c r="B231" s="21"/>
      <c r="C231" s="21"/>
    </row>
    <row r="232">
      <c r="A232" s="24"/>
      <c r="B232" s="21"/>
      <c r="C232" s="21"/>
    </row>
    <row r="233">
      <c r="A233" s="24"/>
      <c r="B233" s="21"/>
      <c r="C233" s="21"/>
    </row>
    <row r="234">
      <c r="A234" s="24"/>
      <c r="B234" s="21"/>
      <c r="C234" s="21"/>
    </row>
    <row r="235">
      <c r="A235" s="24"/>
      <c r="B235" s="21"/>
      <c r="C235" s="21"/>
    </row>
    <row r="236">
      <c r="A236" s="24"/>
      <c r="B236" s="21"/>
      <c r="C236" s="21"/>
    </row>
    <row r="237">
      <c r="A237" s="24"/>
      <c r="B237" s="21"/>
      <c r="C237" s="21"/>
    </row>
    <row r="238">
      <c r="A238" s="24"/>
      <c r="B238" s="21"/>
      <c r="C238" s="21"/>
    </row>
    <row r="239">
      <c r="A239" s="24"/>
      <c r="B239" s="21"/>
      <c r="C239" s="21"/>
    </row>
    <row r="240">
      <c r="A240" s="24"/>
      <c r="B240" s="21"/>
      <c r="C240" s="21"/>
    </row>
    <row r="241">
      <c r="A241" s="24"/>
      <c r="B241" s="21"/>
      <c r="C241" s="21"/>
    </row>
    <row r="242">
      <c r="A242" s="24"/>
      <c r="B242" s="21"/>
      <c r="C242" s="21"/>
    </row>
    <row r="243">
      <c r="A243" s="24"/>
      <c r="B243" s="21"/>
      <c r="C243" s="21"/>
    </row>
    <row r="244">
      <c r="A244" s="24"/>
      <c r="B244" s="21"/>
      <c r="C244" s="21"/>
    </row>
    <row r="245">
      <c r="A245" s="24"/>
      <c r="B245" s="21"/>
      <c r="C245" s="21"/>
    </row>
    <row r="246">
      <c r="A246" s="24"/>
      <c r="B246" s="21"/>
      <c r="C246" s="21"/>
    </row>
    <row r="247">
      <c r="A247" s="24"/>
      <c r="B247" s="21"/>
      <c r="C247" s="21"/>
    </row>
    <row r="248">
      <c r="A248" s="24"/>
      <c r="B248" s="21"/>
      <c r="C248" s="21"/>
    </row>
    <row r="249">
      <c r="A249" s="24"/>
      <c r="B249" s="21"/>
      <c r="C249" s="21"/>
    </row>
    <row r="250">
      <c r="A250" s="24"/>
      <c r="B250" s="21"/>
      <c r="C250" s="21"/>
    </row>
    <row r="251">
      <c r="A251" s="24"/>
      <c r="B251" s="21"/>
      <c r="C251" s="21"/>
    </row>
    <row r="252">
      <c r="A252" s="24"/>
      <c r="B252" s="21"/>
      <c r="C252" s="21"/>
    </row>
    <row r="253">
      <c r="A253" s="24"/>
      <c r="B253" s="21"/>
      <c r="C253" s="21"/>
    </row>
    <row r="254">
      <c r="A254" s="24"/>
      <c r="B254" s="21"/>
      <c r="C254" s="21"/>
    </row>
    <row r="255">
      <c r="A255" s="24"/>
      <c r="B255" s="21"/>
      <c r="C255" s="21"/>
    </row>
    <row r="256">
      <c r="A256" s="24"/>
      <c r="B256" s="21"/>
      <c r="C256" s="21"/>
    </row>
    <row r="257">
      <c r="A257" s="24"/>
      <c r="B257" s="21"/>
      <c r="C257" s="21"/>
    </row>
    <row r="258">
      <c r="A258" s="24"/>
      <c r="B258" s="21"/>
      <c r="C258" s="21"/>
    </row>
    <row r="259">
      <c r="A259" s="24"/>
      <c r="B259" s="21"/>
      <c r="C259" s="21"/>
    </row>
    <row r="260">
      <c r="A260" s="24"/>
      <c r="B260" s="21"/>
      <c r="C260" s="21"/>
    </row>
    <row r="261">
      <c r="A261" s="24"/>
      <c r="B261" s="21"/>
      <c r="C261" s="21"/>
    </row>
    <row r="262">
      <c r="A262" s="24"/>
      <c r="B262" s="21"/>
      <c r="C262" s="21"/>
    </row>
    <row r="263">
      <c r="A263" s="24"/>
      <c r="B263" s="21"/>
      <c r="C263" s="21"/>
    </row>
    <row r="264">
      <c r="A264" s="24"/>
      <c r="B264" s="21"/>
      <c r="C264" s="21"/>
    </row>
    <row r="265">
      <c r="A265" s="24"/>
      <c r="B265" s="21"/>
      <c r="C265" s="21"/>
    </row>
    <row r="266">
      <c r="A266" s="24"/>
      <c r="B266" s="21"/>
      <c r="C266" s="21"/>
    </row>
    <row r="267">
      <c r="A267" s="24"/>
      <c r="B267" s="21"/>
      <c r="C267" s="21"/>
    </row>
    <row r="268">
      <c r="A268" s="24"/>
      <c r="B268" s="21"/>
      <c r="C268" s="21"/>
    </row>
    <row r="269">
      <c r="A269" s="24"/>
      <c r="B269" s="21"/>
      <c r="C269" s="21"/>
    </row>
    <row r="270">
      <c r="A270" s="24"/>
      <c r="B270" s="21"/>
      <c r="C270" s="21"/>
    </row>
    <row r="271">
      <c r="A271" s="24"/>
      <c r="B271" s="21"/>
      <c r="C271" s="21"/>
    </row>
    <row r="272">
      <c r="A272" s="24"/>
      <c r="B272" s="21"/>
      <c r="C272" s="21"/>
    </row>
    <row r="273">
      <c r="A273" s="24"/>
      <c r="B273" s="21"/>
      <c r="C273" s="21"/>
    </row>
    <row r="274">
      <c r="A274" s="24"/>
      <c r="B274" s="21"/>
      <c r="C274" s="21"/>
    </row>
    <row r="275">
      <c r="A275" s="24"/>
      <c r="B275" s="21"/>
      <c r="C275" s="21"/>
    </row>
    <row r="276">
      <c r="A276" s="24"/>
      <c r="B276" s="21"/>
      <c r="C276" s="21"/>
    </row>
    <row r="277">
      <c r="A277" s="24"/>
      <c r="B277" s="21"/>
      <c r="C277" s="21"/>
    </row>
    <row r="278">
      <c r="A278" s="24"/>
      <c r="B278" s="21"/>
      <c r="C278" s="21"/>
    </row>
    <row r="279">
      <c r="A279" s="24"/>
      <c r="B279" s="21"/>
      <c r="C279" s="21"/>
    </row>
    <row r="280">
      <c r="A280" s="24"/>
      <c r="B280" s="21"/>
      <c r="C280" s="21"/>
    </row>
    <row r="281">
      <c r="A281" s="24"/>
      <c r="B281" s="21"/>
      <c r="C281" s="21"/>
    </row>
    <row r="282">
      <c r="A282" s="24"/>
      <c r="B282" s="21"/>
      <c r="C282" s="21"/>
    </row>
    <row r="283">
      <c r="A283" s="24"/>
      <c r="B283" s="21"/>
      <c r="C283" s="21"/>
    </row>
    <row r="284">
      <c r="A284" s="24"/>
      <c r="B284" s="21"/>
      <c r="C284" s="21"/>
    </row>
    <row r="285">
      <c r="A285" s="24"/>
      <c r="B285" s="21"/>
      <c r="C285" s="21"/>
    </row>
    <row r="286">
      <c r="A286" s="24"/>
      <c r="B286" s="21"/>
      <c r="C286" s="21"/>
    </row>
    <row r="287">
      <c r="A287" s="24"/>
      <c r="B287" s="21"/>
      <c r="C287" s="21"/>
    </row>
    <row r="288">
      <c r="A288" s="24"/>
      <c r="B288" s="21"/>
      <c r="C288" s="21"/>
    </row>
    <row r="289">
      <c r="A289" s="24"/>
      <c r="B289" s="21"/>
      <c r="C289" s="21"/>
    </row>
    <row r="290">
      <c r="A290" s="24"/>
      <c r="B290" s="21"/>
      <c r="C290" s="21"/>
    </row>
    <row r="291">
      <c r="A291" s="24"/>
      <c r="B291" s="21"/>
      <c r="C291" s="21"/>
    </row>
    <row r="292">
      <c r="A292" s="24"/>
      <c r="B292" s="21"/>
      <c r="C292" s="21"/>
    </row>
    <row r="293">
      <c r="A293" s="24"/>
      <c r="B293" s="21"/>
      <c r="C293" s="21"/>
    </row>
    <row r="294">
      <c r="A294" s="24"/>
      <c r="B294" s="21"/>
      <c r="C294" s="21"/>
    </row>
    <row r="295">
      <c r="A295" s="24"/>
      <c r="B295" s="21"/>
      <c r="C295" s="21"/>
    </row>
    <row r="296">
      <c r="A296" s="24"/>
      <c r="B296" s="21"/>
      <c r="C296" s="21"/>
    </row>
    <row r="297">
      <c r="A297" s="24"/>
      <c r="B297" s="21"/>
      <c r="C297" s="21"/>
    </row>
    <row r="298">
      <c r="A298" s="24"/>
      <c r="B298" s="21"/>
      <c r="C298" s="21"/>
    </row>
    <row r="299">
      <c r="A299" s="24"/>
      <c r="B299" s="21"/>
      <c r="C299" s="21"/>
    </row>
    <row r="300">
      <c r="A300" s="24"/>
      <c r="B300" s="21"/>
      <c r="C300" s="21"/>
    </row>
    <row r="301">
      <c r="A301" s="24"/>
      <c r="B301" s="21"/>
      <c r="C301" s="21"/>
    </row>
    <row r="302">
      <c r="A302" s="24"/>
      <c r="B302" s="21"/>
      <c r="C302" s="21"/>
    </row>
    <row r="303">
      <c r="A303" s="24"/>
      <c r="B303" s="21"/>
      <c r="C303" s="21"/>
    </row>
    <row r="304">
      <c r="A304" s="24"/>
      <c r="B304" s="21"/>
      <c r="C304" s="21"/>
    </row>
    <row r="305">
      <c r="A305" s="24"/>
      <c r="B305" s="21"/>
      <c r="C305" s="21"/>
    </row>
    <row r="306">
      <c r="A306" s="24"/>
      <c r="B306" s="21"/>
      <c r="C306" s="21"/>
    </row>
    <row r="307">
      <c r="A307" s="24"/>
      <c r="B307" s="21"/>
      <c r="C307" s="21"/>
    </row>
    <row r="308">
      <c r="A308" s="24"/>
      <c r="B308" s="21"/>
      <c r="C308" s="21"/>
    </row>
    <row r="309">
      <c r="A309" s="24"/>
      <c r="B309" s="21"/>
      <c r="C309" s="21"/>
    </row>
    <row r="310">
      <c r="A310" s="24"/>
      <c r="B310" s="21"/>
      <c r="C310" s="21"/>
    </row>
    <row r="311">
      <c r="A311" s="24"/>
      <c r="B311" s="21"/>
      <c r="C311" s="21"/>
    </row>
    <row r="312">
      <c r="A312" s="24"/>
      <c r="B312" s="21"/>
      <c r="C312" s="21"/>
    </row>
    <row r="313">
      <c r="A313" s="24"/>
      <c r="B313" s="21"/>
      <c r="C313" s="21"/>
    </row>
    <row r="314">
      <c r="A314" s="24"/>
      <c r="B314" s="21"/>
      <c r="C314" s="21"/>
    </row>
    <row r="315">
      <c r="A315" s="24"/>
      <c r="B315" s="21"/>
      <c r="C315" s="21"/>
    </row>
    <row r="316">
      <c r="A316" s="24"/>
      <c r="B316" s="21"/>
      <c r="C316" s="21"/>
    </row>
    <row r="317">
      <c r="A317" s="24"/>
      <c r="B317" s="21"/>
      <c r="C317" s="21"/>
    </row>
    <row r="318">
      <c r="A318" s="24"/>
      <c r="B318" s="21"/>
      <c r="C318" s="21"/>
    </row>
    <row r="319">
      <c r="A319" s="24"/>
      <c r="B319" s="21"/>
      <c r="C319" s="21"/>
    </row>
    <row r="320">
      <c r="A320" s="24"/>
      <c r="B320" s="21"/>
      <c r="C320" s="21"/>
    </row>
    <row r="321">
      <c r="A321" s="24"/>
      <c r="B321" s="21"/>
      <c r="C321" s="21"/>
    </row>
    <row r="322">
      <c r="A322" s="24"/>
      <c r="B322" s="21"/>
      <c r="C322" s="21"/>
    </row>
    <row r="323">
      <c r="A323" s="24"/>
      <c r="B323" s="21"/>
      <c r="C323" s="21"/>
    </row>
    <row r="324">
      <c r="A324" s="24"/>
      <c r="B324" s="21"/>
      <c r="C324" s="21"/>
    </row>
    <row r="325">
      <c r="A325" s="24"/>
      <c r="B325" s="21"/>
      <c r="C325" s="21"/>
    </row>
    <row r="326">
      <c r="A326" s="24"/>
      <c r="B326" s="21"/>
      <c r="C326" s="21"/>
    </row>
    <row r="327">
      <c r="A327" s="24"/>
      <c r="B327" s="21"/>
      <c r="C327" s="21"/>
    </row>
    <row r="328">
      <c r="A328" s="24"/>
      <c r="B328" s="21"/>
      <c r="C328" s="21"/>
    </row>
    <row r="329">
      <c r="A329" s="24"/>
      <c r="B329" s="21"/>
      <c r="C329" s="21"/>
    </row>
    <row r="330">
      <c r="A330" s="24"/>
      <c r="B330" s="21"/>
      <c r="C330" s="21"/>
    </row>
    <row r="331">
      <c r="A331" s="24"/>
      <c r="B331" s="21"/>
      <c r="C331" s="21"/>
    </row>
    <row r="332">
      <c r="A332" s="24"/>
      <c r="B332" s="21"/>
      <c r="C332" s="21"/>
    </row>
    <row r="333">
      <c r="A333" s="24"/>
      <c r="B333" s="21"/>
      <c r="C333" s="21"/>
    </row>
    <row r="334">
      <c r="A334" s="24"/>
      <c r="B334" s="21"/>
      <c r="C334" s="21"/>
    </row>
    <row r="335">
      <c r="A335" s="24"/>
      <c r="B335" s="21"/>
      <c r="C335" s="21"/>
    </row>
    <row r="336">
      <c r="A336" s="24"/>
      <c r="B336" s="21"/>
      <c r="C336" s="21"/>
    </row>
    <row r="337">
      <c r="A337" s="24"/>
      <c r="B337" s="21"/>
      <c r="C337" s="21"/>
    </row>
    <row r="338">
      <c r="A338" s="24"/>
      <c r="B338" s="21"/>
      <c r="C338" s="21"/>
    </row>
    <row r="339">
      <c r="A339" s="24"/>
      <c r="B339" s="21"/>
      <c r="C339" s="21"/>
    </row>
    <row r="340">
      <c r="A340" s="24"/>
      <c r="B340" s="21"/>
      <c r="C340" s="21"/>
    </row>
    <row r="341">
      <c r="A341" s="24"/>
      <c r="B341" s="21"/>
      <c r="C341" s="21"/>
    </row>
    <row r="342">
      <c r="A342" s="24"/>
      <c r="B342" s="21"/>
      <c r="C342" s="21"/>
    </row>
    <row r="343">
      <c r="A343" s="24"/>
      <c r="B343" s="21"/>
      <c r="C343" s="21"/>
    </row>
    <row r="344">
      <c r="A344" s="24"/>
      <c r="B344" s="21"/>
      <c r="C344" s="21"/>
    </row>
    <row r="345">
      <c r="A345" s="24"/>
      <c r="B345" s="21"/>
      <c r="C345" s="21"/>
    </row>
    <row r="346">
      <c r="A346" s="24"/>
      <c r="B346" s="21"/>
      <c r="C346" s="21"/>
    </row>
    <row r="347">
      <c r="A347" s="24"/>
      <c r="B347" s="21"/>
      <c r="C347" s="21"/>
    </row>
    <row r="348">
      <c r="A348" s="24"/>
      <c r="B348" s="21"/>
      <c r="C348" s="21"/>
    </row>
    <row r="349">
      <c r="A349" s="24"/>
      <c r="B349" s="21"/>
      <c r="C349" s="21"/>
    </row>
    <row r="350">
      <c r="A350" s="24"/>
      <c r="B350" s="21"/>
      <c r="C350" s="21"/>
    </row>
    <row r="351">
      <c r="A351" s="24"/>
      <c r="B351" s="21"/>
      <c r="C351" s="21"/>
    </row>
    <row r="352">
      <c r="A352" s="24"/>
      <c r="B352" s="21"/>
      <c r="C352" s="21"/>
    </row>
    <row r="353">
      <c r="A353" s="24"/>
      <c r="B353" s="21"/>
      <c r="C353" s="21"/>
    </row>
    <row r="354">
      <c r="A354" s="24"/>
      <c r="B354" s="21"/>
      <c r="C354" s="21"/>
    </row>
    <row r="355">
      <c r="A355" s="24"/>
      <c r="B355" s="21"/>
      <c r="C355" s="21"/>
    </row>
    <row r="356">
      <c r="A356" s="24"/>
      <c r="B356" s="21"/>
      <c r="C356" s="21"/>
    </row>
    <row r="357">
      <c r="A357" s="24"/>
      <c r="B357" s="21"/>
      <c r="C357" s="21"/>
    </row>
    <row r="358">
      <c r="A358" s="24"/>
      <c r="B358" s="21"/>
      <c r="C358" s="21"/>
    </row>
    <row r="359">
      <c r="A359" s="24"/>
      <c r="B359" s="21"/>
      <c r="C359" s="21"/>
    </row>
    <row r="360">
      <c r="A360" s="24"/>
      <c r="B360" s="21"/>
      <c r="C360" s="21"/>
    </row>
    <row r="361">
      <c r="A361" s="24"/>
      <c r="B361" s="21"/>
      <c r="C361" s="21"/>
    </row>
    <row r="362">
      <c r="A362" s="24"/>
      <c r="B362" s="21"/>
      <c r="C362" s="21"/>
    </row>
    <row r="363">
      <c r="A363" s="24"/>
      <c r="B363" s="21"/>
      <c r="C363" s="21"/>
    </row>
    <row r="364">
      <c r="A364" s="24"/>
      <c r="B364" s="21"/>
      <c r="C364" s="21"/>
    </row>
    <row r="365">
      <c r="A365" s="24"/>
      <c r="B365" s="21"/>
      <c r="C365" s="21"/>
    </row>
    <row r="366">
      <c r="A366" s="24"/>
      <c r="B366" s="21"/>
      <c r="C366" s="21"/>
    </row>
    <row r="367">
      <c r="A367" s="24"/>
      <c r="B367" s="21"/>
      <c r="C367" s="21"/>
    </row>
    <row r="368">
      <c r="A368" s="24"/>
      <c r="B368" s="21"/>
      <c r="C368" s="21"/>
    </row>
    <row r="369">
      <c r="A369" s="24"/>
      <c r="B369" s="21"/>
      <c r="C369" s="21"/>
    </row>
    <row r="370">
      <c r="A370" s="24"/>
      <c r="B370" s="21"/>
      <c r="C370" s="21"/>
    </row>
    <row r="371">
      <c r="A371" s="24"/>
      <c r="B371" s="21"/>
      <c r="C371" s="21"/>
    </row>
    <row r="372">
      <c r="A372" s="24"/>
      <c r="B372" s="21"/>
      <c r="C372" s="21"/>
    </row>
    <row r="373">
      <c r="A373" s="24"/>
      <c r="B373" s="21"/>
      <c r="C373" s="21"/>
    </row>
    <row r="374">
      <c r="A374" s="24"/>
      <c r="B374" s="21"/>
      <c r="C374" s="21"/>
    </row>
    <row r="375">
      <c r="A375" s="24"/>
      <c r="B375" s="21"/>
      <c r="C375" s="21"/>
    </row>
    <row r="376">
      <c r="A376" s="24"/>
      <c r="B376" s="21"/>
      <c r="C376" s="21"/>
    </row>
    <row r="377">
      <c r="A377" s="24"/>
      <c r="B377" s="21"/>
      <c r="C377" s="21"/>
    </row>
    <row r="378">
      <c r="A378" s="24"/>
      <c r="B378" s="21"/>
      <c r="C378" s="21"/>
    </row>
    <row r="379">
      <c r="A379" s="24"/>
      <c r="B379" s="21"/>
      <c r="C379" s="21"/>
    </row>
    <row r="380">
      <c r="A380" s="24"/>
      <c r="B380" s="21"/>
      <c r="C380" s="21"/>
    </row>
    <row r="381">
      <c r="A381" s="24"/>
      <c r="B381" s="21"/>
      <c r="C381" s="21"/>
    </row>
    <row r="382">
      <c r="A382" s="24"/>
      <c r="B382" s="21"/>
      <c r="C382" s="21"/>
    </row>
    <row r="383">
      <c r="A383" s="24"/>
      <c r="B383" s="21"/>
      <c r="C383" s="21"/>
    </row>
    <row r="384">
      <c r="A384" s="24"/>
      <c r="B384" s="21"/>
      <c r="C384" s="21"/>
    </row>
    <row r="385">
      <c r="A385" s="24"/>
      <c r="B385" s="21"/>
      <c r="C385" s="21"/>
    </row>
    <row r="386">
      <c r="A386" s="24"/>
      <c r="B386" s="21"/>
      <c r="C386" s="21"/>
    </row>
    <row r="387">
      <c r="A387" s="24"/>
      <c r="B387" s="21"/>
      <c r="C387" s="21"/>
    </row>
    <row r="388">
      <c r="A388" s="24"/>
      <c r="B388" s="21"/>
      <c r="C388" s="21"/>
    </row>
    <row r="389">
      <c r="A389" s="24"/>
      <c r="B389" s="21"/>
      <c r="C389" s="21"/>
    </row>
    <row r="390">
      <c r="A390" s="24"/>
      <c r="B390" s="21"/>
      <c r="C390" s="21"/>
    </row>
    <row r="391">
      <c r="A391" s="24"/>
      <c r="B391" s="21"/>
      <c r="C391" s="21"/>
    </row>
    <row r="392">
      <c r="A392" s="24"/>
      <c r="B392" s="21"/>
      <c r="C392" s="21"/>
    </row>
    <row r="393">
      <c r="A393" s="24"/>
      <c r="B393" s="21"/>
      <c r="C393" s="21"/>
    </row>
    <row r="394">
      <c r="A394" s="24"/>
      <c r="B394" s="21"/>
      <c r="C394" s="21"/>
    </row>
    <row r="395">
      <c r="A395" s="24"/>
      <c r="B395" s="21"/>
      <c r="C395" s="21"/>
    </row>
    <row r="396">
      <c r="A396" s="24"/>
      <c r="B396" s="21"/>
      <c r="C396" s="21"/>
    </row>
    <row r="397">
      <c r="A397" s="24"/>
      <c r="B397" s="21"/>
      <c r="C397" s="21"/>
    </row>
    <row r="398">
      <c r="A398" s="24"/>
      <c r="B398" s="21"/>
      <c r="C398" s="21"/>
    </row>
    <row r="399">
      <c r="A399" s="24"/>
      <c r="B399" s="21"/>
      <c r="C399" s="21"/>
    </row>
    <row r="400">
      <c r="A400" s="24"/>
      <c r="B400" s="21"/>
      <c r="C400" s="21"/>
    </row>
    <row r="401">
      <c r="A401" s="24"/>
      <c r="B401" s="21"/>
      <c r="C401" s="21"/>
    </row>
    <row r="402">
      <c r="A402" s="24"/>
      <c r="B402" s="21"/>
      <c r="C402" s="21"/>
    </row>
    <row r="403">
      <c r="A403" s="24"/>
      <c r="B403" s="21"/>
      <c r="C403" s="21"/>
    </row>
    <row r="404">
      <c r="A404" s="24"/>
      <c r="B404" s="21"/>
      <c r="C404" s="21"/>
    </row>
    <row r="405">
      <c r="A405" s="24"/>
      <c r="B405" s="21"/>
      <c r="C405" s="21"/>
    </row>
    <row r="406">
      <c r="A406" s="24"/>
      <c r="B406" s="21"/>
      <c r="C406" s="21"/>
    </row>
    <row r="407">
      <c r="A407" s="24"/>
      <c r="B407" s="21"/>
      <c r="C407" s="21"/>
    </row>
    <row r="408">
      <c r="A408" s="24"/>
      <c r="B408" s="21"/>
      <c r="C408" s="21"/>
    </row>
    <row r="409">
      <c r="A409" s="24"/>
      <c r="B409" s="21"/>
      <c r="C409" s="21"/>
    </row>
    <row r="410">
      <c r="A410" s="24"/>
      <c r="B410" s="21"/>
      <c r="C410" s="21"/>
    </row>
    <row r="411">
      <c r="A411" s="24"/>
      <c r="B411" s="21"/>
      <c r="C411" s="21"/>
    </row>
    <row r="412">
      <c r="A412" s="24"/>
      <c r="B412" s="21"/>
      <c r="C412" s="21"/>
    </row>
    <row r="413">
      <c r="A413" s="24"/>
      <c r="B413" s="21"/>
      <c r="C413" s="21"/>
    </row>
    <row r="414">
      <c r="A414" s="24"/>
      <c r="B414" s="21"/>
      <c r="C414" s="21"/>
    </row>
    <row r="415">
      <c r="A415" s="24"/>
      <c r="B415" s="21"/>
      <c r="C415" s="21"/>
    </row>
    <row r="416">
      <c r="A416" s="24"/>
      <c r="B416" s="21"/>
      <c r="C416" s="21"/>
    </row>
    <row r="417">
      <c r="A417" s="24"/>
      <c r="B417" s="21"/>
      <c r="C417" s="21"/>
    </row>
    <row r="418">
      <c r="A418" s="24"/>
      <c r="B418" s="21"/>
      <c r="C418" s="21"/>
    </row>
    <row r="419">
      <c r="A419" s="24"/>
      <c r="B419" s="21"/>
      <c r="C419" s="21"/>
    </row>
    <row r="420">
      <c r="A420" s="24"/>
      <c r="B420" s="21"/>
      <c r="C420" s="21"/>
    </row>
    <row r="421">
      <c r="A421" s="24"/>
      <c r="B421" s="21"/>
      <c r="C421" s="21"/>
    </row>
    <row r="422">
      <c r="A422" s="24"/>
      <c r="B422" s="21"/>
      <c r="C422" s="21"/>
    </row>
    <row r="423">
      <c r="A423" s="24"/>
      <c r="B423" s="21"/>
      <c r="C423" s="21"/>
    </row>
    <row r="424">
      <c r="A424" s="24"/>
      <c r="B424" s="21"/>
      <c r="C424" s="21"/>
    </row>
    <row r="425">
      <c r="A425" s="24"/>
      <c r="B425" s="21"/>
      <c r="C425" s="21"/>
    </row>
    <row r="426">
      <c r="A426" s="24"/>
      <c r="B426" s="21"/>
      <c r="C426" s="21"/>
    </row>
    <row r="427">
      <c r="A427" s="24"/>
      <c r="B427" s="21"/>
      <c r="C427" s="21"/>
    </row>
    <row r="428">
      <c r="A428" s="24"/>
      <c r="B428" s="21"/>
      <c r="C428" s="21"/>
    </row>
    <row r="429">
      <c r="A429" s="24"/>
      <c r="B429" s="21"/>
      <c r="C429" s="21"/>
    </row>
    <row r="430">
      <c r="A430" s="24"/>
      <c r="B430" s="21"/>
      <c r="C430" s="21"/>
    </row>
    <row r="431">
      <c r="A431" s="24"/>
      <c r="B431" s="21"/>
      <c r="C431" s="21"/>
    </row>
    <row r="432">
      <c r="A432" s="24"/>
      <c r="B432" s="21"/>
      <c r="C432" s="21"/>
    </row>
    <row r="433">
      <c r="A433" s="24"/>
      <c r="B433" s="21"/>
      <c r="C433" s="21"/>
    </row>
    <row r="434">
      <c r="A434" s="24"/>
      <c r="B434" s="21"/>
      <c r="C434" s="21"/>
    </row>
    <row r="435">
      <c r="A435" s="24"/>
      <c r="B435" s="21"/>
      <c r="C435" s="21"/>
    </row>
    <row r="436">
      <c r="A436" s="24"/>
      <c r="B436" s="21"/>
      <c r="C436" s="21"/>
    </row>
    <row r="437">
      <c r="A437" s="24"/>
      <c r="B437" s="21"/>
      <c r="C437" s="21"/>
    </row>
    <row r="438">
      <c r="A438" s="24"/>
      <c r="B438" s="21"/>
      <c r="C438" s="21"/>
    </row>
    <row r="439">
      <c r="A439" s="24"/>
      <c r="B439" s="21"/>
      <c r="C439" s="21"/>
    </row>
    <row r="440">
      <c r="A440" s="24"/>
      <c r="B440" s="21"/>
      <c r="C440" s="21"/>
    </row>
    <row r="441">
      <c r="A441" s="24"/>
      <c r="B441" s="21"/>
      <c r="C441" s="21"/>
    </row>
    <row r="442">
      <c r="A442" s="24"/>
      <c r="B442" s="21"/>
      <c r="C442" s="21"/>
    </row>
    <row r="443">
      <c r="A443" s="24"/>
      <c r="B443" s="21"/>
      <c r="C443" s="21"/>
    </row>
    <row r="444">
      <c r="A444" s="24"/>
      <c r="B444" s="21"/>
      <c r="C444" s="21"/>
    </row>
    <row r="445">
      <c r="A445" s="24"/>
      <c r="B445" s="21"/>
      <c r="C445" s="21"/>
    </row>
    <row r="446">
      <c r="A446" s="24"/>
      <c r="B446" s="21"/>
      <c r="C446" s="21"/>
    </row>
    <row r="447">
      <c r="A447" s="24"/>
      <c r="B447" s="21"/>
      <c r="C447" s="21"/>
    </row>
    <row r="448">
      <c r="A448" s="24"/>
      <c r="B448" s="21"/>
      <c r="C448" s="21"/>
    </row>
    <row r="449">
      <c r="A449" s="24"/>
      <c r="B449" s="21"/>
      <c r="C449" s="21"/>
    </row>
    <row r="450">
      <c r="A450" s="24"/>
      <c r="B450" s="21"/>
      <c r="C450" s="21"/>
    </row>
    <row r="451">
      <c r="A451" s="24"/>
      <c r="B451" s="21"/>
      <c r="C451" s="21"/>
    </row>
    <row r="452">
      <c r="A452" s="24"/>
      <c r="B452" s="21"/>
      <c r="C452" s="21"/>
    </row>
    <row r="453">
      <c r="A453" s="24"/>
      <c r="B453" s="21"/>
      <c r="C453" s="21"/>
    </row>
    <row r="454">
      <c r="A454" s="24"/>
      <c r="B454" s="21"/>
      <c r="C454" s="21"/>
    </row>
    <row r="455">
      <c r="A455" s="24"/>
      <c r="B455" s="21"/>
      <c r="C455" s="21"/>
    </row>
    <row r="456">
      <c r="A456" s="24"/>
      <c r="B456" s="21"/>
      <c r="C456" s="21"/>
    </row>
    <row r="457">
      <c r="A457" s="24"/>
      <c r="B457" s="21"/>
      <c r="C457" s="21"/>
    </row>
    <row r="458">
      <c r="A458" s="24"/>
      <c r="B458" s="21"/>
      <c r="C458" s="21"/>
    </row>
    <row r="459">
      <c r="A459" s="24"/>
      <c r="B459" s="21"/>
      <c r="C459" s="21"/>
    </row>
    <row r="460">
      <c r="A460" s="24"/>
      <c r="B460" s="21"/>
      <c r="C460" s="21"/>
    </row>
    <row r="461">
      <c r="A461" s="24"/>
      <c r="B461" s="21"/>
      <c r="C461" s="21"/>
    </row>
    <row r="462">
      <c r="A462" s="24"/>
      <c r="B462" s="21"/>
      <c r="C462" s="21"/>
    </row>
    <row r="463">
      <c r="A463" s="24"/>
      <c r="B463" s="21"/>
      <c r="C463" s="21"/>
    </row>
    <row r="464">
      <c r="A464" s="24"/>
      <c r="B464" s="21"/>
      <c r="C464" s="21"/>
    </row>
    <row r="465">
      <c r="A465" s="24"/>
      <c r="B465" s="21"/>
      <c r="C465" s="21"/>
    </row>
    <row r="466">
      <c r="A466" s="24"/>
      <c r="B466" s="21"/>
      <c r="C466" s="21"/>
    </row>
    <row r="467">
      <c r="A467" s="24"/>
      <c r="B467" s="21"/>
      <c r="C467" s="21"/>
    </row>
    <row r="468">
      <c r="A468" s="24"/>
      <c r="B468" s="21"/>
      <c r="C468" s="21"/>
    </row>
    <row r="469">
      <c r="A469" s="24"/>
      <c r="B469" s="21"/>
      <c r="C469" s="21"/>
    </row>
    <row r="470">
      <c r="A470" s="24"/>
      <c r="B470" s="21"/>
      <c r="C470" s="21"/>
    </row>
    <row r="471">
      <c r="A471" s="24"/>
      <c r="B471" s="21"/>
      <c r="C471" s="21"/>
    </row>
    <row r="472">
      <c r="A472" s="24"/>
      <c r="B472" s="21"/>
      <c r="C472" s="21"/>
    </row>
    <row r="473">
      <c r="A473" s="24"/>
      <c r="B473" s="21"/>
      <c r="C473" s="21"/>
    </row>
    <row r="474">
      <c r="A474" s="24"/>
      <c r="B474" s="21"/>
      <c r="C474" s="21"/>
    </row>
    <row r="475">
      <c r="A475" s="24"/>
      <c r="B475" s="21"/>
      <c r="C475" s="21"/>
    </row>
    <row r="476">
      <c r="A476" s="24"/>
      <c r="B476" s="21"/>
      <c r="C476" s="21"/>
    </row>
    <row r="477">
      <c r="A477" s="24"/>
      <c r="B477" s="21"/>
      <c r="C477" s="21"/>
    </row>
    <row r="478">
      <c r="A478" s="24"/>
      <c r="B478" s="21"/>
      <c r="C478" s="21"/>
    </row>
    <row r="479">
      <c r="A479" s="24"/>
      <c r="B479" s="21"/>
      <c r="C479" s="21"/>
    </row>
    <row r="480">
      <c r="A480" s="24"/>
      <c r="B480" s="21"/>
      <c r="C480" s="21"/>
    </row>
    <row r="481">
      <c r="A481" s="24"/>
      <c r="B481" s="21"/>
      <c r="C481" s="21"/>
    </row>
    <row r="482">
      <c r="A482" s="24"/>
      <c r="B482" s="21"/>
      <c r="C482" s="21"/>
    </row>
    <row r="483">
      <c r="A483" s="24"/>
      <c r="B483" s="21"/>
      <c r="C483" s="21"/>
    </row>
    <row r="484">
      <c r="A484" s="24"/>
      <c r="B484" s="21"/>
      <c r="C484" s="21"/>
    </row>
    <row r="485">
      <c r="A485" s="24"/>
      <c r="B485" s="21"/>
      <c r="C485" s="21"/>
    </row>
    <row r="486">
      <c r="A486" s="24"/>
      <c r="B486" s="21"/>
      <c r="C486" s="21"/>
    </row>
    <row r="487">
      <c r="A487" s="24"/>
      <c r="B487" s="21"/>
      <c r="C487" s="21"/>
    </row>
    <row r="488">
      <c r="A488" s="24"/>
      <c r="B488" s="21"/>
      <c r="C488" s="21"/>
    </row>
    <row r="489">
      <c r="A489" s="24"/>
      <c r="B489" s="21"/>
      <c r="C489" s="21"/>
    </row>
    <row r="490">
      <c r="A490" s="24"/>
      <c r="B490" s="21"/>
      <c r="C490" s="21"/>
    </row>
    <row r="491">
      <c r="A491" s="24"/>
      <c r="B491" s="21"/>
      <c r="C491" s="21"/>
    </row>
    <row r="492">
      <c r="A492" s="24"/>
      <c r="B492" s="21"/>
      <c r="C492" s="21"/>
    </row>
    <row r="493">
      <c r="A493" s="24"/>
      <c r="B493" s="21"/>
      <c r="C493" s="21"/>
    </row>
    <row r="494">
      <c r="A494" s="24"/>
      <c r="B494" s="21"/>
      <c r="C494" s="21"/>
    </row>
    <row r="495">
      <c r="A495" s="24"/>
      <c r="B495" s="21"/>
      <c r="C495" s="21"/>
    </row>
    <row r="496">
      <c r="A496" s="24"/>
      <c r="B496" s="21"/>
      <c r="C496" s="21"/>
    </row>
    <row r="497">
      <c r="A497" s="24"/>
      <c r="B497" s="21"/>
      <c r="C497" s="21"/>
    </row>
    <row r="498">
      <c r="A498" s="24"/>
      <c r="B498" s="21"/>
      <c r="C498" s="21"/>
    </row>
    <row r="499">
      <c r="A499" s="24"/>
      <c r="B499" s="21"/>
      <c r="C499" s="21"/>
    </row>
    <row r="500">
      <c r="A500" s="24"/>
      <c r="B500" s="21"/>
      <c r="C500" s="21"/>
    </row>
    <row r="501">
      <c r="A501" s="24"/>
      <c r="B501" s="21"/>
      <c r="C501" s="21"/>
    </row>
    <row r="502">
      <c r="A502" s="24"/>
      <c r="B502" s="21"/>
      <c r="C502" s="21"/>
    </row>
    <row r="503">
      <c r="A503" s="24"/>
      <c r="B503" s="21"/>
      <c r="C503" s="21"/>
    </row>
    <row r="504">
      <c r="A504" s="24"/>
      <c r="B504" s="21"/>
      <c r="C504" s="21"/>
    </row>
    <row r="505">
      <c r="A505" s="24"/>
      <c r="B505" s="21"/>
      <c r="C505" s="21"/>
    </row>
    <row r="506">
      <c r="A506" s="24"/>
      <c r="B506" s="21"/>
      <c r="C506" s="21"/>
    </row>
    <row r="507">
      <c r="A507" s="24"/>
      <c r="B507" s="21"/>
      <c r="C507" s="21"/>
    </row>
    <row r="508">
      <c r="A508" s="24"/>
      <c r="B508" s="21"/>
      <c r="C508" s="21"/>
    </row>
    <row r="509">
      <c r="A509" s="24"/>
      <c r="B509" s="21"/>
      <c r="C509" s="21"/>
    </row>
    <row r="510">
      <c r="A510" s="24"/>
      <c r="B510" s="21"/>
      <c r="C510" s="21"/>
    </row>
    <row r="511">
      <c r="A511" s="24"/>
      <c r="B511" s="21"/>
      <c r="C511" s="21"/>
    </row>
    <row r="512">
      <c r="A512" s="24"/>
      <c r="B512" s="21"/>
      <c r="C512" s="21"/>
    </row>
    <row r="513">
      <c r="A513" s="24"/>
      <c r="B513" s="21"/>
      <c r="C513" s="21"/>
    </row>
    <row r="514">
      <c r="A514" s="24"/>
      <c r="B514" s="21"/>
      <c r="C514" s="21"/>
    </row>
    <row r="515">
      <c r="A515" s="24"/>
      <c r="B515" s="21"/>
      <c r="C515" s="21"/>
    </row>
    <row r="516">
      <c r="A516" s="24"/>
      <c r="B516" s="21"/>
      <c r="C516" s="21"/>
    </row>
    <row r="517">
      <c r="A517" s="24"/>
      <c r="B517" s="21"/>
      <c r="C517" s="21"/>
    </row>
    <row r="518">
      <c r="A518" s="24"/>
      <c r="B518" s="21"/>
      <c r="C518" s="21"/>
    </row>
    <row r="519">
      <c r="A519" s="24"/>
      <c r="B519" s="21"/>
      <c r="C519" s="21"/>
    </row>
    <row r="520">
      <c r="A520" s="24"/>
      <c r="B520" s="21"/>
      <c r="C520" s="21"/>
    </row>
    <row r="521">
      <c r="A521" s="24"/>
      <c r="B521" s="21"/>
      <c r="C521" s="21"/>
    </row>
    <row r="522">
      <c r="A522" s="24"/>
      <c r="B522" s="21"/>
      <c r="C522" s="21"/>
    </row>
    <row r="523">
      <c r="A523" s="24"/>
      <c r="B523" s="21"/>
      <c r="C523" s="21"/>
    </row>
    <row r="524">
      <c r="A524" s="24"/>
      <c r="B524" s="21"/>
      <c r="C524" s="21"/>
    </row>
    <row r="525">
      <c r="A525" s="24"/>
      <c r="B525" s="21"/>
      <c r="C525" s="21"/>
    </row>
    <row r="526">
      <c r="A526" s="24"/>
      <c r="B526" s="21"/>
      <c r="C526" s="21"/>
    </row>
    <row r="527">
      <c r="A527" s="24"/>
      <c r="B527" s="21"/>
      <c r="C527" s="21"/>
    </row>
    <row r="528">
      <c r="A528" s="24"/>
      <c r="B528" s="21"/>
      <c r="C528" s="21"/>
    </row>
    <row r="529">
      <c r="A529" s="24"/>
      <c r="B529" s="21"/>
      <c r="C529" s="21"/>
    </row>
    <row r="530">
      <c r="A530" s="24"/>
      <c r="B530" s="21"/>
      <c r="C530" s="21"/>
    </row>
    <row r="531">
      <c r="A531" s="24"/>
      <c r="B531" s="21"/>
      <c r="C531" s="21"/>
    </row>
    <row r="532">
      <c r="A532" s="24"/>
      <c r="B532" s="21"/>
      <c r="C532" s="21"/>
    </row>
    <row r="533">
      <c r="A533" s="24"/>
      <c r="B533" s="21"/>
      <c r="C533" s="21"/>
    </row>
    <row r="534">
      <c r="A534" s="24"/>
      <c r="B534" s="21"/>
      <c r="C534" s="21"/>
    </row>
    <row r="535">
      <c r="A535" s="24"/>
      <c r="B535" s="21"/>
      <c r="C535" s="21"/>
    </row>
    <row r="536">
      <c r="A536" s="24"/>
      <c r="B536" s="21"/>
      <c r="C536" s="21"/>
    </row>
    <row r="537">
      <c r="A537" s="24"/>
      <c r="B537" s="21"/>
      <c r="C537" s="21"/>
    </row>
    <row r="538">
      <c r="A538" s="24"/>
      <c r="B538" s="21"/>
      <c r="C538" s="21"/>
    </row>
    <row r="539">
      <c r="A539" s="24"/>
      <c r="B539" s="21"/>
      <c r="C539" s="21"/>
    </row>
    <row r="540">
      <c r="A540" s="24"/>
      <c r="B540" s="21"/>
      <c r="C540" s="21"/>
    </row>
    <row r="541">
      <c r="A541" s="24"/>
      <c r="B541" s="21"/>
      <c r="C541" s="21"/>
    </row>
    <row r="542">
      <c r="A542" s="24"/>
      <c r="B542" s="21"/>
      <c r="C542" s="21"/>
    </row>
    <row r="543">
      <c r="A543" s="24"/>
      <c r="B543" s="21"/>
      <c r="C543" s="21"/>
    </row>
    <row r="544">
      <c r="A544" s="24"/>
      <c r="B544" s="21"/>
      <c r="C544" s="21"/>
    </row>
    <row r="545">
      <c r="A545" s="24"/>
      <c r="B545" s="21"/>
      <c r="C545" s="21"/>
    </row>
    <row r="546">
      <c r="A546" s="24"/>
      <c r="B546" s="21"/>
      <c r="C546" s="21"/>
    </row>
    <row r="547">
      <c r="A547" s="24"/>
      <c r="B547" s="21"/>
      <c r="C547" s="21"/>
    </row>
    <row r="548">
      <c r="A548" s="24"/>
      <c r="B548" s="21"/>
      <c r="C548" s="21"/>
    </row>
    <row r="549">
      <c r="A549" s="24"/>
      <c r="B549" s="21"/>
      <c r="C549" s="21"/>
    </row>
    <row r="550">
      <c r="A550" s="24"/>
      <c r="B550" s="21"/>
      <c r="C550" s="21"/>
    </row>
    <row r="551">
      <c r="A551" s="24"/>
      <c r="B551" s="21"/>
      <c r="C551" s="21"/>
    </row>
    <row r="552">
      <c r="A552" s="24"/>
      <c r="B552" s="21"/>
      <c r="C552" s="21"/>
    </row>
    <row r="553">
      <c r="A553" s="24"/>
      <c r="B553" s="21"/>
      <c r="C553" s="21"/>
    </row>
    <row r="554">
      <c r="A554" s="24"/>
      <c r="B554" s="21"/>
      <c r="C554" s="21"/>
    </row>
    <row r="555">
      <c r="A555" s="24"/>
      <c r="B555" s="21"/>
      <c r="C555" s="21"/>
    </row>
    <row r="556">
      <c r="A556" s="24"/>
      <c r="B556" s="21"/>
      <c r="C556" s="21"/>
    </row>
    <row r="557">
      <c r="A557" s="24"/>
      <c r="B557" s="21"/>
      <c r="C557" s="21"/>
    </row>
    <row r="558">
      <c r="A558" s="24"/>
      <c r="B558" s="21"/>
      <c r="C558" s="21"/>
    </row>
    <row r="559">
      <c r="A559" s="24"/>
      <c r="B559" s="21"/>
      <c r="C559" s="21"/>
    </row>
    <row r="560">
      <c r="A560" s="24"/>
      <c r="B560" s="21"/>
      <c r="C560" s="21"/>
    </row>
    <row r="561">
      <c r="A561" s="24"/>
      <c r="B561" s="21"/>
      <c r="C561" s="21"/>
    </row>
    <row r="562">
      <c r="A562" s="24"/>
      <c r="B562" s="21"/>
      <c r="C562" s="21"/>
    </row>
    <row r="563">
      <c r="A563" s="24"/>
      <c r="B563" s="21"/>
      <c r="C563" s="21"/>
    </row>
    <row r="564">
      <c r="A564" s="24"/>
      <c r="B564" s="21"/>
      <c r="C564" s="21"/>
    </row>
    <row r="565">
      <c r="A565" s="24"/>
      <c r="B565" s="21"/>
      <c r="C565" s="21"/>
    </row>
    <row r="566">
      <c r="A566" s="24"/>
      <c r="B566" s="21"/>
      <c r="C566" s="21"/>
    </row>
    <row r="567">
      <c r="A567" s="24"/>
      <c r="B567" s="21"/>
      <c r="C567" s="21"/>
    </row>
    <row r="568">
      <c r="A568" s="24"/>
      <c r="B568" s="21"/>
      <c r="C568" s="21"/>
    </row>
    <row r="569">
      <c r="A569" s="24"/>
      <c r="B569" s="21"/>
      <c r="C569" s="21"/>
    </row>
    <row r="570">
      <c r="A570" s="24"/>
      <c r="B570" s="21"/>
      <c r="C570" s="21"/>
    </row>
    <row r="571">
      <c r="A571" s="24"/>
      <c r="B571" s="21"/>
      <c r="C571" s="21"/>
    </row>
    <row r="572">
      <c r="A572" s="24"/>
      <c r="B572" s="21"/>
      <c r="C572" s="21"/>
    </row>
    <row r="573">
      <c r="A573" s="24"/>
      <c r="B573" s="21"/>
      <c r="C573" s="21"/>
    </row>
    <row r="574">
      <c r="A574" s="24"/>
      <c r="B574" s="21"/>
      <c r="C574" s="21"/>
    </row>
    <row r="575">
      <c r="A575" s="24"/>
      <c r="B575" s="21"/>
      <c r="C575" s="21"/>
    </row>
    <row r="576">
      <c r="A576" s="24"/>
      <c r="B576" s="21"/>
      <c r="C576" s="21"/>
    </row>
    <row r="577">
      <c r="A577" s="24"/>
      <c r="B577" s="21"/>
      <c r="C577" s="21"/>
    </row>
    <row r="578">
      <c r="A578" s="24"/>
      <c r="B578" s="21"/>
      <c r="C578" s="21"/>
    </row>
    <row r="579">
      <c r="A579" s="24"/>
      <c r="B579" s="21"/>
      <c r="C579" s="21"/>
    </row>
    <row r="580">
      <c r="A580" s="24"/>
      <c r="B580" s="21"/>
      <c r="C580" s="21"/>
    </row>
    <row r="581">
      <c r="A581" s="24"/>
      <c r="B581" s="21"/>
      <c r="C581" s="21"/>
    </row>
    <row r="582">
      <c r="A582" s="24"/>
      <c r="B582" s="21"/>
      <c r="C582" s="21"/>
    </row>
    <row r="583">
      <c r="A583" s="24"/>
      <c r="B583" s="21"/>
      <c r="C583" s="21"/>
    </row>
    <row r="584">
      <c r="A584" s="24"/>
      <c r="B584" s="21"/>
      <c r="C584" s="21"/>
    </row>
    <row r="585">
      <c r="A585" s="24"/>
      <c r="B585" s="21"/>
      <c r="C585" s="21"/>
    </row>
    <row r="586">
      <c r="A586" s="24"/>
      <c r="B586" s="21"/>
      <c r="C586" s="21"/>
    </row>
    <row r="587">
      <c r="A587" s="24"/>
      <c r="B587" s="21"/>
      <c r="C587" s="21"/>
    </row>
    <row r="588">
      <c r="A588" s="24"/>
      <c r="B588" s="21"/>
      <c r="C588" s="21"/>
    </row>
    <row r="589">
      <c r="A589" s="24"/>
      <c r="B589" s="21"/>
      <c r="C589" s="21"/>
    </row>
    <row r="590">
      <c r="A590" s="24"/>
      <c r="B590" s="21"/>
      <c r="C590" s="21"/>
    </row>
    <row r="591">
      <c r="A591" s="24"/>
      <c r="B591" s="21"/>
      <c r="C591" s="21"/>
    </row>
    <row r="592">
      <c r="A592" s="24"/>
      <c r="B592" s="21"/>
      <c r="C592" s="21"/>
    </row>
    <row r="593">
      <c r="A593" s="24"/>
      <c r="B593" s="21"/>
      <c r="C593" s="21"/>
    </row>
    <row r="594">
      <c r="A594" s="24"/>
      <c r="B594" s="21"/>
      <c r="C594" s="21"/>
    </row>
    <row r="595">
      <c r="A595" s="24"/>
      <c r="B595" s="21"/>
      <c r="C595" s="21"/>
    </row>
    <row r="596">
      <c r="A596" s="24"/>
      <c r="B596" s="21"/>
      <c r="C596" s="21"/>
    </row>
    <row r="597">
      <c r="A597" s="24"/>
      <c r="B597" s="21"/>
      <c r="C597" s="21"/>
    </row>
    <row r="598">
      <c r="A598" s="24"/>
      <c r="B598" s="21"/>
      <c r="C598" s="21"/>
    </row>
    <row r="599">
      <c r="A599" s="24"/>
      <c r="B599" s="21"/>
      <c r="C599" s="21"/>
    </row>
    <row r="600">
      <c r="A600" s="24"/>
      <c r="B600" s="21"/>
      <c r="C600" s="21"/>
    </row>
    <row r="601">
      <c r="A601" s="24"/>
      <c r="B601" s="21"/>
      <c r="C601" s="21"/>
    </row>
    <row r="602">
      <c r="A602" s="24"/>
      <c r="B602" s="21"/>
      <c r="C602" s="21"/>
    </row>
    <row r="603">
      <c r="A603" s="24"/>
      <c r="B603" s="21"/>
      <c r="C603" s="21"/>
    </row>
    <row r="604">
      <c r="A604" s="24"/>
      <c r="B604" s="21"/>
      <c r="C604" s="21"/>
    </row>
    <row r="605">
      <c r="A605" s="24"/>
      <c r="B605" s="21"/>
      <c r="C605" s="21"/>
    </row>
    <row r="606">
      <c r="A606" s="24"/>
      <c r="B606" s="21"/>
      <c r="C606" s="21"/>
    </row>
    <row r="607">
      <c r="A607" s="24"/>
      <c r="B607" s="21"/>
      <c r="C607" s="21"/>
    </row>
    <row r="608">
      <c r="A608" s="24"/>
      <c r="B608" s="21"/>
      <c r="C608" s="21"/>
    </row>
    <row r="609">
      <c r="A609" s="24"/>
      <c r="B609" s="21"/>
      <c r="C609" s="21"/>
    </row>
    <row r="610">
      <c r="A610" s="24"/>
      <c r="B610" s="21"/>
      <c r="C610" s="21"/>
    </row>
    <row r="611">
      <c r="A611" s="24"/>
      <c r="B611" s="21"/>
      <c r="C611" s="21"/>
    </row>
    <row r="612">
      <c r="A612" s="24"/>
      <c r="B612" s="21"/>
      <c r="C612" s="21"/>
    </row>
    <row r="613">
      <c r="A613" s="24"/>
      <c r="B613" s="21"/>
      <c r="C613" s="21"/>
    </row>
    <row r="614">
      <c r="A614" s="24"/>
      <c r="B614" s="21"/>
      <c r="C614" s="21"/>
    </row>
    <row r="615">
      <c r="A615" s="24"/>
      <c r="B615" s="21"/>
      <c r="C615" s="21"/>
    </row>
    <row r="616">
      <c r="A616" s="24"/>
      <c r="B616" s="21"/>
      <c r="C616" s="21"/>
    </row>
    <row r="617">
      <c r="A617" s="24"/>
      <c r="B617" s="21"/>
      <c r="C617" s="21"/>
    </row>
    <row r="618">
      <c r="A618" s="24"/>
      <c r="B618" s="21"/>
      <c r="C618" s="21"/>
    </row>
    <row r="619">
      <c r="A619" s="24"/>
      <c r="B619" s="21"/>
      <c r="C619" s="21"/>
    </row>
    <row r="620">
      <c r="A620" s="24"/>
      <c r="B620" s="21"/>
      <c r="C620" s="21"/>
    </row>
    <row r="621">
      <c r="A621" s="24"/>
      <c r="B621" s="21"/>
      <c r="C621" s="21"/>
    </row>
    <row r="622">
      <c r="A622" s="24"/>
      <c r="B622" s="21"/>
      <c r="C622" s="21"/>
    </row>
    <row r="623">
      <c r="A623" s="24"/>
      <c r="B623" s="21"/>
      <c r="C623" s="21"/>
    </row>
    <row r="624">
      <c r="A624" s="24"/>
      <c r="B624" s="21"/>
      <c r="C624" s="21"/>
    </row>
    <row r="625">
      <c r="A625" s="24"/>
      <c r="B625" s="21"/>
      <c r="C625" s="21"/>
    </row>
    <row r="626">
      <c r="A626" s="24"/>
      <c r="B626" s="21"/>
      <c r="C626" s="21"/>
    </row>
    <row r="627">
      <c r="A627" s="24"/>
      <c r="B627" s="21"/>
      <c r="C627" s="21"/>
    </row>
    <row r="628">
      <c r="A628" s="24"/>
      <c r="B628" s="21"/>
      <c r="C628" s="21"/>
    </row>
    <row r="629">
      <c r="A629" s="24"/>
      <c r="B629" s="21"/>
      <c r="C629" s="21"/>
    </row>
    <row r="630">
      <c r="A630" s="24"/>
      <c r="B630" s="21"/>
      <c r="C630" s="21"/>
    </row>
    <row r="631">
      <c r="A631" s="24"/>
      <c r="B631" s="21"/>
      <c r="C631" s="21"/>
    </row>
    <row r="632">
      <c r="A632" s="24"/>
      <c r="B632" s="21"/>
      <c r="C632" s="21"/>
    </row>
    <row r="633">
      <c r="A633" s="24"/>
      <c r="B633" s="21"/>
      <c r="C633" s="21"/>
    </row>
    <row r="634">
      <c r="A634" s="24"/>
      <c r="B634" s="21"/>
      <c r="C634" s="21"/>
    </row>
    <row r="635">
      <c r="A635" s="24"/>
      <c r="B635" s="21"/>
      <c r="C635" s="21"/>
    </row>
    <row r="636">
      <c r="A636" s="24"/>
      <c r="B636" s="21"/>
      <c r="C636" s="21"/>
    </row>
    <row r="637">
      <c r="A637" s="24"/>
      <c r="B637" s="21"/>
      <c r="C637" s="21"/>
    </row>
    <row r="638">
      <c r="A638" s="24"/>
      <c r="B638" s="21"/>
      <c r="C638" s="21"/>
    </row>
    <row r="639">
      <c r="A639" s="24"/>
      <c r="B639" s="21"/>
      <c r="C639" s="21"/>
    </row>
    <row r="640">
      <c r="A640" s="24"/>
      <c r="B640" s="21"/>
      <c r="C640" s="21"/>
    </row>
    <row r="641">
      <c r="A641" s="24"/>
      <c r="B641" s="21"/>
      <c r="C641" s="21"/>
    </row>
    <row r="642">
      <c r="A642" s="24"/>
      <c r="B642" s="21"/>
      <c r="C642" s="21"/>
    </row>
    <row r="643">
      <c r="A643" s="24"/>
      <c r="B643" s="21"/>
      <c r="C643" s="21"/>
    </row>
    <row r="644">
      <c r="A644" s="24"/>
      <c r="B644" s="21"/>
      <c r="C644" s="21"/>
    </row>
    <row r="645">
      <c r="A645" s="24"/>
      <c r="B645" s="21"/>
      <c r="C645" s="21"/>
    </row>
    <row r="646">
      <c r="A646" s="24"/>
      <c r="B646" s="21"/>
      <c r="C646" s="21"/>
    </row>
    <row r="647">
      <c r="A647" s="24"/>
      <c r="B647" s="21"/>
      <c r="C647" s="21"/>
    </row>
    <row r="648">
      <c r="A648" s="24"/>
      <c r="B648" s="21"/>
      <c r="C648" s="21"/>
    </row>
    <row r="649">
      <c r="A649" s="24"/>
      <c r="B649" s="21"/>
      <c r="C649" s="21"/>
    </row>
    <row r="650">
      <c r="A650" s="24"/>
      <c r="B650" s="21"/>
      <c r="C650" s="21"/>
    </row>
    <row r="651">
      <c r="A651" s="24"/>
      <c r="B651" s="21"/>
      <c r="C651" s="21"/>
    </row>
    <row r="652">
      <c r="A652" s="24"/>
      <c r="B652" s="21"/>
      <c r="C652" s="21"/>
    </row>
    <row r="653">
      <c r="A653" s="24"/>
      <c r="B653" s="21"/>
      <c r="C653" s="21"/>
    </row>
    <row r="654">
      <c r="A654" s="24"/>
      <c r="B654" s="21"/>
      <c r="C654" s="21"/>
    </row>
    <row r="655">
      <c r="A655" s="24"/>
      <c r="B655" s="21"/>
      <c r="C655" s="21"/>
    </row>
    <row r="656">
      <c r="A656" s="24"/>
      <c r="B656" s="21"/>
      <c r="C656" s="21"/>
    </row>
    <row r="657">
      <c r="A657" s="24"/>
      <c r="B657" s="21"/>
      <c r="C657" s="21"/>
    </row>
    <row r="658">
      <c r="A658" s="24"/>
      <c r="B658" s="21"/>
      <c r="C658" s="21"/>
    </row>
    <row r="659">
      <c r="A659" s="24"/>
      <c r="B659" s="21"/>
      <c r="C659" s="21"/>
    </row>
    <row r="660">
      <c r="A660" s="24"/>
      <c r="B660" s="21"/>
      <c r="C660" s="21"/>
    </row>
    <row r="661">
      <c r="A661" s="24"/>
      <c r="B661" s="21"/>
      <c r="C661" s="21"/>
    </row>
    <row r="662">
      <c r="A662" s="24"/>
      <c r="B662" s="21"/>
      <c r="C662" s="21"/>
    </row>
    <row r="663">
      <c r="A663" s="24"/>
      <c r="B663" s="21"/>
      <c r="C663" s="21"/>
    </row>
    <row r="664">
      <c r="A664" s="24"/>
      <c r="B664" s="21"/>
      <c r="C664" s="21"/>
    </row>
    <row r="665">
      <c r="A665" s="24"/>
      <c r="B665" s="21"/>
      <c r="C665" s="21"/>
    </row>
    <row r="666">
      <c r="A666" s="24"/>
      <c r="B666" s="21"/>
      <c r="C666" s="21"/>
    </row>
    <row r="667">
      <c r="A667" s="24"/>
      <c r="B667" s="21"/>
      <c r="C667" s="21"/>
    </row>
    <row r="668">
      <c r="A668" s="24"/>
      <c r="B668" s="21"/>
      <c r="C668" s="21"/>
    </row>
    <row r="669">
      <c r="A669" s="24"/>
      <c r="B669" s="21"/>
      <c r="C669" s="21"/>
    </row>
    <row r="670">
      <c r="A670" s="24"/>
      <c r="B670" s="21"/>
      <c r="C670" s="21"/>
    </row>
    <row r="671">
      <c r="A671" s="24"/>
      <c r="B671" s="21"/>
      <c r="C671" s="21"/>
    </row>
    <row r="672">
      <c r="A672" s="24"/>
      <c r="B672" s="21"/>
      <c r="C672" s="21"/>
    </row>
    <row r="673">
      <c r="A673" s="24"/>
      <c r="B673" s="21"/>
      <c r="C673" s="21"/>
    </row>
    <row r="674">
      <c r="A674" s="24"/>
      <c r="B674" s="21"/>
      <c r="C674" s="21"/>
    </row>
    <row r="675">
      <c r="A675" s="24"/>
      <c r="B675" s="21"/>
      <c r="C675" s="21"/>
    </row>
    <row r="676">
      <c r="A676" s="24"/>
      <c r="B676" s="21"/>
      <c r="C676" s="21"/>
    </row>
    <row r="677">
      <c r="A677" s="24"/>
      <c r="B677" s="21"/>
      <c r="C677" s="21"/>
    </row>
    <row r="678">
      <c r="A678" s="24"/>
      <c r="B678" s="21"/>
      <c r="C678" s="21"/>
    </row>
    <row r="679">
      <c r="A679" s="24"/>
      <c r="B679" s="21"/>
      <c r="C679" s="21"/>
    </row>
    <row r="680">
      <c r="A680" s="24"/>
      <c r="B680" s="21"/>
      <c r="C680" s="21"/>
    </row>
    <row r="681">
      <c r="A681" s="24"/>
      <c r="B681" s="21"/>
      <c r="C681" s="21"/>
    </row>
    <row r="682">
      <c r="A682" s="24"/>
      <c r="B682" s="21"/>
      <c r="C682" s="21"/>
    </row>
    <row r="683">
      <c r="A683" s="24"/>
      <c r="B683" s="21"/>
      <c r="C683" s="21"/>
    </row>
    <row r="684">
      <c r="A684" s="24"/>
      <c r="B684" s="21"/>
      <c r="C684" s="21"/>
    </row>
    <row r="685">
      <c r="A685" s="24"/>
      <c r="B685" s="21"/>
      <c r="C685" s="21"/>
    </row>
    <row r="686">
      <c r="A686" s="24"/>
      <c r="B686" s="21"/>
      <c r="C686" s="21"/>
    </row>
    <row r="687">
      <c r="A687" s="24"/>
      <c r="B687" s="21"/>
      <c r="C687" s="21"/>
    </row>
    <row r="688">
      <c r="A688" s="24"/>
      <c r="B688" s="21"/>
      <c r="C688" s="21"/>
    </row>
    <row r="689">
      <c r="A689" s="24"/>
      <c r="B689" s="21"/>
      <c r="C689" s="21"/>
    </row>
    <row r="690">
      <c r="A690" s="24"/>
      <c r="B690" s="21"/>
      <c r="C690" s="21"/>
    </row>
    <row r="691">
      <c r="A691" s="24"/>
      <c r="B691" s="21"/>
      <c r="C691" s="21"/>
    </row>
    <row r="692">
      <c r="A692" s="24"/>
      <c r="B692" s="21"/>
      <c r="C692" s="21"/>
    </row>
    <row r="693">
      <c r="A693" s="24"/>
      <c r="B693" s="21"/>
      <c r="C693" s="21"/>
    </row>
    <row r="694">
      <c r="A694" s="24"/>
      <c r="B694" s="21"/>
      <c r="C694" s="21"/>
    </row>
    <row r="695">
      <c r="A695" s="24"/>
      <c r="B695" s="21"/>
      <c r="C695" s="21"/>
    </row>
    <row r="696">
      <c r="A696" s="24"/>
      <c r="B696" s="21"/>
      <c r="C696" s="21"/>
    </row>
    <row r="697">
      <c r="A697" s="24"/>
      <c r="B697" s="21"/>
      <c r="C697" s="21"/>
    </row>
    <row r="698">
      <c r="A698" s="24"/>
      <c r="B698" s="21"/>
      <c r="C698" s="21"/>
    </row>
    <row r="699">
      <c r="A699" s="24"/>
      <c r="B699" s="21"/>
      <c r="C699" s="21"/>
    </row>
    <row r="700">
      <c r="A700" s="24"/>
      <c r="B700" s="21"/>
      <c r="C700" s="21"/>
    </row>
    <row r="701">
      <c r="A701" s="24"/>
      <c r="B701" s="21"/>
      <c r="C701" s="21"/>
    </row>
    <row r="702">
      <c r="A702" s="24"/>
      <c r="B702" s="21"/>
      <c r="C702" s="21"/>
    </row>
    <row r="703">
      <c r="A703" s="24"/>
      <c r="B703" s="21"/>
      <c r="C703" s="21"/>
    </row>
    <row r="704">
      <c r="A704" s="24"/>
      <c r="B704" s="21"/>
      <c r="C704" s="21"/>
    </row>
    <row r="705">
      <c r="A705" s="24"/>
      <c r="B705" s="21"/>
      <c r="C705" s="21"/>
    </row>
    <row r="706">
      <c r="A706" s="24"/>
      <c r="B706" s="21"/>
      <c r="C706" s="21"/>
    </row>
    <row r="707">
      <c r="A707" s="24"/>
      <c r="B707" s="21"/>
      <c r="C707" s="21"/>
    </row>
    <row r="708">
      <c r="A708" s="24"/>
      <c r="B708" s="21"/>
      <c r="C708" s="21"/>
    </row>
    <row r="709">
      <c r="A709" s="24"/>
      <c r="B709" s="21"/>
      <c r="C709" s="21"/>
    </row>
    <row r="710">
      <c r="A710" s="24"/>
      <c r="B710" s="21"/>
      <c r="C710" s="21"/>
    </row>
    <row r="711">
      <c r="A711" s="24"/>
      <c r="B711" s="21"/>
      <c r="C711" s="21"/>
    </row>
    <row r="712">
      <c r="A712" s="24"/>
      <c r="B712" s="21"/>
      <c r="C712" s="21"/>
    </row>
    <row r="713">
      <c r="A713" s="24"/>
      <c r="B713" s="21"/>
      <c r="C713" s="21"/>
    </row>
    <row r="714">
      <c r="A714" s="24"/>
      <c r="B714" s="21"/>
      <c r="C714" s="21"/>
    </row>
    <row r="715">
      <c r="A715" s="24"/>
      <c r="B715" s="21"/>
      <c r="C715" s="21"/>
    </row>
    <row r="716">
      <c r="A716" s="24"/>
      <c r="B716" s="21"/>
      <c r="C716" s="21"/>
    </row>
    <row r="717">
      <c r="A717" s="24"/>
      <c r="B717" s="21"/>
      <c r="C717" s="21"/>
    </row>
    <row r="718">
      <c r="A718" s="24"/>
      <c r="B718" s="21"/>
      <c r="C718" s="21"/>
    </row>
    <row r="719">
      <c r="A719" s="24"/>
      <c r="B719" s="21"/>
      <c r="C719" s="21"/>
    </row>
    <row r="720">
      <c r="A720" s="24"/>
      <c r="B720" s="21"/>
      <c r="C720" s="21"/>
    </row>
    <row r="721">
      <c r="A721" s="24"/>
      <c r="B721" s="21"/>
      <c r="C721" s="21"/>
    </row>
    <row r="722">
      <c r="A722" s="24"/>
      <c r="B722" s="21"/>
      <c r="C722" s="21"/>
    </row>
    <row r="723">
      <c r="A723" s="24"/>
      <c r="B723" s="21"/>
      <c r="C723" s="21"/>
    </row>
    <row r="724">
      <c r="A724" s="24"/>
      <c r="B724" s="21"/>
      <c r="C724" s="21"/>
    </row>
    <row r="725">
      <c r="A725" s="24"/>
      <c r="B725" s="21"/>
      <c r="C725" s="21"/>
    </row>
    <row r="726">
      <c r="A726" s="24"/>
      <c r="B726" s="21"/>
      <c r="C726" s="21"/>
    </row>
    <row r="727">
      <c r="A727" s="24"/>
      <c r="B727" s="21"/>
      <c r="C727" s="21"/>
    </row>
    <row r="728">
      <c r="A728" s="24"/>
      <c r="B728" s="21"/>
      <c r="C728" s="21"/>
    </row>
    <row r="729">
      <c r="A729" s="24"/>
      <c r="B729" s="21"/>
      <c r="C729" s="21"/>
    </row>
    <row r="730">
      <c r="A730" s="24"/>
      <c r="B730" s="21"/>
      <c r="C730" s="21"/>
    </row>
    <row r="731">
      <c r="A731" s="24"/>
      <c r="B731" s="21"/>
      <c r="C731" s="21"/>
    </row>
    <row r="732">
      <c r="A732" s="24"/>
      <c r="B732" s="21"/>
      <c r="C732" s="21"/>
    </row>
    <row r="733">
      <c r="A733" s="24"/>
      <c r="B733" s="21"/>
      <c r="C733" s="21"/>
    </row>
    <row r="734">
      <c r="A734" s="24"/>
      <c r="B734" s="21"/>
      <c r="C734" s="21"/>
    </row>
    <row r="735">
      <c r="A735" s="24"/>
      <c r="B735" s="21"/>
      <c r="C735" s="21"/>
    </row>
    <row r="736">
      <c r="A736" s="24"/>
      <c r="B736" s="21"/>
      <c r="C736" s="21"/>
    </row>
    <row r="737">
      <c r="A737" s="24"/>
      <c r="B737" s="21"/>
      <c r="C737" s="21"/>
    </row>
    <row r="738">
      <c r="A738" s="24"/>
      <c r="B738" s="21"/>
      <c r="C738" s="21"/>
    </row>
    <row r="739">
      <c r="A739" s="24"/>
      <c r="B739" s="21"/>
      <c r="C739" s="21"/>
    </row>
    <row r="740">
      <c r="A740" s="24"/>
      <c r="B740" s="21"/>
      <c r="C740" s="21"/>
    </row>
    <row r="741">
      <c r="A741" s="24"/>
      <c r="B741" s="21"/>
      <c r="C741" s="21"/>
    </row>
    <row r="742">
      <c r="A742" s="24"/>
      <c r="B742" s="21"/>
      <c r="C742" s="21"/>
    </row>
    <row r="743">
      <c r="A743" s="24"/>
      <c r="B743" s="21"/>
      <c r="C743" s="21"/>
    </row>
    <row r="744">
      <c r="A744" s="24"/>
      <c r="B744" s="21"/>
      <c r="C744" s="21"/>
    </row>
    <row r="745">
      <c r="A745" s="24"/>
      <c r="B745" s="21"/>
      <c r="C745" s="21"/>
    </row>
    <row r="746">
      <c r="A746" s="24"/>
      <c r="B746" s="21"/>
      <c r="C746" s="21"/>
    </row>
    <row r="747">
      <c r="A747" s="24"/>
      <c r="B747" s="21"/>
      <c r="C747" s="21"/>
    </row>
    <row r="748">
      <c r="A748" s="24"/>
      <c r="B748" s="21"/>
      <c r="C748" s="21"/>
    </row>
    <row r="749">
      <c r="A749" s="24"/>
      <c r="B749" s="21"/>
      <c r="C749" s="21"/>
    </row>
    <row r="750">
      <c r="A750" s="24"/>
      <c r="B750" s="21"/>
      <c r="C750" s="21"/>
    </row>
    <row r="751">
      <c r="A751" s="24"/>
      <c r="B751" s="21"/>
      <c r="C751" s="21"/>
    </row>
    <row r="752">
      <c r="A752" s="24"/>
      <c r="B752" s="21"/>
      <c r="C752" s="21"/>
    </row>
    <row r="753">
      <c r="A753" s="24"/>
      <c r="B753" s="21"/>
      <c r="C753" s="21"/>
    </row>
    <row r="754">
      <c r="A754" s="24"/>
      <c r="B754" s="21"/>
      <c r="C754" s="21"/>
    </row>
    <row r="755">
      <c r="A755" s="24"/>
      <c r="B755" s="21"/>
      <c r="C755" s="21"/>
    </row>
    <row r="756">
      <c r="A756" s="24"/>
      <c r="B756" s="21"/>
      <c r="C756" s="21"/>
    </row>
    <row r="757">
      <c r="A757" s="24"/>
      <c r="B757" s="21"/>
      <c r="C757" s="21"/>
    </row>
    <row r="758">
      <c r="A758" s="24"/>
      <c r="B758" s="21"/>
      <c r="C758" s="21"/>
    </row>
    <row r="759">
      <c r="A759" s="24"/>
      <c r="B759" s="21"/>
      <c r="C759" s="21"/>
    </row>
    <row r="760">
      <c r="A760" s="24"/>
      <c r="B760" s="21"/>
      <c r="C760" s="21"/>
    </row>
    <row r="761">
      <c r="A761" s="24"/>
      <c r="B761" s="21"/>
      <c r="C761" s="21"/>
    </row>
    <row r="762">
      <c r="A762" s="24"/>
      <c r="B762" s="21"/>
      <c r="C762" s="21"/>
    </row>
    <row r="763">
      <c r="A763" s="24"/>
      <c r="B763" s="21"/>
      <c r="C763" s="21"/>
    </row>
    <row r="764">
      <c r="A764" s="24"/>
      <c r="B764" s="21"/>
      <c r="C764" s="21"/>
    </row>
    <row r="765">
      <c r="A765" s="24"/>
      <c r="B765" s="21"/>
      <c r="C765" s="21"/>
    </row>
    <row r="766">
      <c r="A766" s="24"/>
      <c r="B766" s="21"/>
      <c r="C766" s="21"/>
    </row>
    <row r="767">
      <c r="A767" s="24"/>
      <c r="B767" s="21"/>
      <c r="C767" s="21"/>
    </row>
    <row r="768">
      <c r="A768" s="24"/>
      <c r="B768" s="21"/>
      <c r="C768" s="21"/>
    </row>
    <row r="769">
      <c r="A769" s="24"/>
      <c r="B769" s="21"/>
      <c r="C769" s="21"/>
    </row>
    <row r="770">
      <c r="A770" s="24"/>
      <c r="B770" s="21"/>
      <c r="C770" s="21"/>
    </row>
    <row r="771">
      <c r="A771" s="24"/>
      <c r="B771" s="21"/>
      <c r="C771" s="21"/>
    </row>
    <row r="772">
      <c r="A772" s="24"/>
      <c r="B772" s="21"/>
      <c r="C772" s="21"/>
    </row>
    <row r="773">
      <c r="A773" s="24"/>
      <c r="B773" s="21"/>
      <c r="C773" s="21"/>
    </row>
    <row r="774">
      <c r="A774" s="24"/>
      <c r="B774" s="21"/>
      <c r="C774" s="21"/>
    </row>
    <row r="775">
      <c r="A775" s="24"/>
      <c r="B775" s="21"/>
      <c r="C775" s="21"/>
    </row>
    <row r="776">
      <c r="A776" s="24"/>
      <c r="B776" s="21"/>
      <c r="C776" s="21"/>
    </row>
    <row r="777">
      <c r="A777" s="24"/>
      <c r="B777" s="21"/>
      <c r="C777" s="21"/>
    </row>
    <row r="778">
      <c r="A778" s="24"/>
      <c r="B778" s="21"/>
      <c r="C778" s="21"/>
    </row>
    <row r="779">
      <c r="A779" s="24"/>
      <c r="B779" s="21"/>
      <c r="C779" s="21"/>
    </row>
    <row r="780">
      <c r="A780" s="24"/>
      <c r="B780" s="21"/>
      <c r="C780" s="21"/>
    </row>
    <row r="781">
      <c r="A781" s="24"/>
      <c r="B781" s="21"/>
      <c r="C781" s="21"/>
    </row>
    <row r="782">
      <c r="A782" s="24"/>
      <c r="B782" s="21"/>
      <c r="C782" s="21"/>
    </row>
    <row r="783">
      <c r="A783" s="24"/>
      <c r="B783" s="21"/>
      <c r="C783" s="21"/>
    </row>
    <row r="784">
      <c r="A784" s="24"/>
      <c r="B784" s="21"/>
      <c r="C784" s="21"/>
    </row>
    <row r="785">
      <c r="A785" s="24"/>
      <c r="B785" s="21"/>
      <c r="C785" s="21"/>
    </row>
    <row r="786">
      <c r="A786" s="24"/>
      <c r="B786" s="21"/>
      <c r="C786" s="21"/>
    </row>
    <row r="787">
      <c r="A787" s="24"/>
      <c r="B787" s="21"/>
      <c r="C787" s="21"/>
    </row>
    <row r="788">
      <c r="A788" s="24"/>
      <c r="B788" s="21"/>
      <c r="C788" s="21"/>
    </row>
    <row r="789">
      <c r="A789" s="24"/>
      <c r="B789" s="21"/>
      <c r="C789" s="21"/>
    </row>
    <row r="790">
      <c r="A790" s="24"/>
      <c r="B790" s="21"/>
      <c r="C790" s="21"/>
    </row>
    <row r="791">
      <c r="A791" s="24"/>
      <c r="B791" s="21"/>
      <c r="C791" s="21"/>
    </row>
    <row r="792">
      <c r="A792" s="24"/>
      <c r="B792" s="21"/>
      <c r="C792" s="21"/>
    </row>
    <row r="793">
      <c r="A793" s="24"/>
      <c r="B793" s="21"/>
      <c r="C793" s="21"/>
    </row>
    <row r="794">
      <c r="A794" s="24"/>
      <c r="B794" s="21"/>
      <c r="C794" s="21"/>
    </row>
    <row r="795">
      <c r="A795" s="24"/>
      <c r="B795" s="21"/>
      <c r="C795" s="21"/>
    </row>
    <row r="796">
      <c r="A796" s="24"/>
      <c r="B796" s="21"/>
      <c r="C796" s="21"/>
    </row>
    <row r="797">
      <c r="A797" s="24"/>
      <c r="B797" s="21"/>
      <c r="C797" s="21"/>
    </row>
    <row r="798">
      <c r="A798" s="24"/>
      <c r="B798" s="21"/>
      <c r="C798" s="21"/>
    </row>
    <row r="799">
      <c r="A799" s="24"/>
      <c r="B799" s="21"/>
      <c r="C799" s="21"/>
    </row>
    <row r="800">
      <c r="A800" s="24"/>
      <c r="B800" s="21"/>
      <c r="C800" s="21"/>
    </row>
    <row r="801">
      <c r="A801" s="24"/>
      <c r="B801" s="21"/>
      <c r="C801" s="21"/>
    </row>
    <row r="802">
      <c r="A802" s="24"/>
      <c r="B802" s="21"/>
      <c r="C802" s="21"/>
    </row>
    <row r="803">
      <c r="A803" s="24"/>
      <c r="B803" s="21"/>
      <c r="C803" s="21"/>
    </row>
    <row r="804">
      <c r="A804" s="24"/>
      <c r="B804" s="21"/>
      <c r="C804" s="21"/>
    </row>
    <row r="805">
      <c r="A805" s="24"/>
      <c r="B805" s="21"/>
      <c r="C805" s="21"/>
    </row>
    <row r="806">
      <c r="A806" s="24"/>
      <c r="B806" s="21"/>
      <c r="C806" s="21"/>
    </row>
    <row r="807">
      <c r="A807" s="24"/>
      <c r="B807" s="21"/>
      <c r="C807" s="21"/>
    </row>
    <row r="808">
      <c r="A808" s="24"/>
      <c r="B808" s="21"/>
      <c r="C808" s="21"/>
    </row>
    <row r="809">
      <c r="A809" s="24"/>
      <c r="B809" s="21"/>
      <c r="C809" s="21"/>
    </row>
    <row r="810">
      <c r="A810" s="24"/>
      <c r="B810" s="21"/>
      <c r="C810" s="21"/>
    </row>
    <row r="811">
      <c r="A811" s="24"/>
      <c r="B811" s="21"/>
      <c r="C811" s="21"/>
    </row>
    <row r="812">
      <c r="A812" s="24"/>
      <c r="B812" s="21"/>
      <c r="C812" s="21"/>
    </row>
    <row r="813">
      <c r="A813" s="24"/>
      <c r="B813" s="21"/>
      <c r="C813" s="21"/>
    </row>
    <row r="814">
      <c r="A814" s="24"/>
      <c r="B814" s="21"/>
      <c r="C814" s="21"/>
    </row>
    <row r="815">
      <c r="A815" s="24"/>
      <c r="B815" s="21"/>
      <c r="C815" s="21"/>
    </row>
    <row r="816">
      <c r="A816" s="24"/>
      <c r="B816" s="21"/>
      <c r="C816" s="21"/>
    </row>
    <row r="817">
      <c r="A817" s="24"/>
      <c r="B817" s="21"/>
      <c r="C817" s="21"/>
    </row>
    <row r="818">
      <c r="A818" s="24"/>
      <c r="B818" s="21"/>
      <c r="C818" s="21"/>
    </row>
    <row r="819">
      <c r="A819" s="24"/>
      <c r="B819" s="21"/>
      <c r="C819" s="21"/>
    </row>
    <row r="820">
      <c r="A820" s="24"/>
      <c r="B820" s="21"/>
      <c r="C820" s="21"/>
    </row>
    <row r="821">
      <c r="A821" s="24"/>
      <c r="B821" s="21"/>
      <c r="C821" s="21"/>
    </row>
    <row r="822">
      <c r="A822" s="24"/>
      <c r="B822" s="21"/>
      <c r="C822" s="21"/>
    </row>
    <row r="823">
      <c r="A823" s="24"/>
      <c r="B823" s="21"/>
      <c r="C823" s="21"/>
    </row>
    <row r="824">
      <c r="A824" s="24"/>
      <c r="B824" s="21"/>
      <c r="C824" s="21"/>
    </row>
    <row r="825">
      <c r="A825" s="24"/>
      <c r="B825" s="21"/>
      <c r="C825" s="21"/>
    </row>
    <row r="826">
      <c r="A826" s="24"/>
      <c r="B826" s="21"/>
      <c r="C826" s="21"/>
    </row>
    <row r="827">
      <c r="A827" s="24"/>
      <c r="B827" s="21"/>
      <c r="C827" s="21"/>
    </row>
    <row r="828">
      <c r="A828" s="24"/>
      <c r="B828" s="21"/>
      <c r="C828" s="21"/>
    </row>
    <row r="829">
      <c r="A829" s="24"/>
      <c r="B829" s="21"/>
      <c r="C829" s="21"/>
    </row>
    <row r="830">
      <c r="A830" s="24"/>
      <c r="B830" s="21"/>
      <c r="C830" s="21"/>
    </row>
    <row r="831">
      <c r="A831" s="24"/>
      <c r="B831" s="21"/>
      <c r="C831" s="21"/>
    </row>
    <row r="832">
      <c r="A832" s="24"/>
      <c r="B832" s="21"/>
      <c r="C832" s="21"/>
    </row>
    <row r="833">
      <c r="A833" s="24"/>
      <c r="B833" s="21"/>
      <c r="C833" s="21"/>
    </row>
    <row r="834">
      <c r="A834" s="24"/>
      <c r="B834" s="21"/>
      <c r="C834" s="21"/>
    </row>
    <row r="835">
      <c r="A835" s="24"/>
      <c r="B835" s="21"/>
      <c r="C835" s="21"/>
    </row>
    <row r="836">
      <c r="A836" s="24"/>
      <c r="B836" s="21"/>
      <c r="C836" s="21"/>
    </row>
    <row r="837">
      <c r="A837" s="24"/>
      <c r="B837" s="21"/>
      <c r="C837" s="21"/>
    </row>
    <row r="838">
      <c r="A838" s="24"/>
      <c r="B838" s="21"/>
      <c r="C838" s="21"/>
    </row>
    <row r="839">
      <c r="A839" s="24"/>
      <c r="B839" s="21"/>
      <c r="C839" s="21"/>
    </row>
    <row r="840">
      <c r="A840" s="24"/>
      <c r="B840" s="21"/>
      <c r="C840" s="21"/>
    </row>
    <row r="841">
      <c r="A841" s="24"/>
      <c r="B841" s="21"/>
      <c r="C841" s="21"/>
    </row>
    <row r="842">
      <c r="A842" s="24"/>
      <c r="B842" s="21"/>
      <c r="C842" s="21"/>
    </row>
    <row r="843">
      <c r="A843" s="24"/>
      <c r="B843" s="21"/>
      <c r="C843" s="21"/>
    </row>
    <row r="844">
      <c r="A844" s="24"/>
      <c r="B844" s="21"/>
      <c r="C844" s="21"/>
    </row>
    <row r="845">
      <c r="A845" s="24"/>
      <c r="B845" s="21"/>
      <c r="C845" s="21"/>
    </row>
    <row r="846">
      <c r="A846" s="24"/>
      <c r="B846" s="21"/>
      <c r="C846" s="21"/>
    </row>
    <row r="847">
      <c r="A847" s="24"/>
      <c r="B847" s="21"/>
      <c r="C847" s="21"/>
    </row>
    <row r="848">
      <c r="A848" s="24"/>
      <c r="B848" s="21"/>
      <c r="C848" s="21"/>
    </row>
    <row r="849">
      <c r="A849" s="24"/>
      <c r="B849" s="21"/>
      <c r="C849" s="21"/>
    </row>
    <row r="850">
      <c r="A850" s="24"/>
      <c r="B850" s="21"/>
      <c r="C850" s="21"/>
    </row>
    <row r="851">
      <c r="A851" s="24"/>
      <c r="B851" s="21"/>
      <c r="C851" s="21"/>
    </row>
    <row r="852">
      <c r="A852" s="24"/>
      <c r="B852" s="21"/>
      <c r="C852" s="21"/>
    </row>
    <row r="853">
      <c r="A853" s="24"/>
      <c r="B853" s="21"/>
      <c r="C853" s="21"/>
    </row>
    <row r="854">
      <c r="A854" s="24"/>
      <c r="B854" s="21"/>
      <c r="C854" s="21"/>
    </row>
    <row r="855">
      <c r="A855" s="24"/>
      <c r="B855" s="21"/>
      <c r="C855" s="21"/>
    </row>
    <row r="856">
      <c r="A856" s="24"/>
      <c r="B856" s="21"/>
      <c r="C856" s="21"/>
    </row>
    <row r="857">
      <c r="A857" s="24"/>
      <c r="B857" s="21"/>
      <c r="C857" s="21"/>
    </row>
    <row r="858">
      <c r="A858" s="24"/>
      <c r="B858" s="21"/>
      <c r="C858" s="21"/>
    </row>
    <row r="859">
      <c r="A859" s="24"/>
      <c r="B859" s="21"/>
      <c r="C859" s="21"/>
    </row>
    <row r="860">
      <c r="A860" s="24"/>
      <c r="B860" s="21"/>
      <c r="C860" s="21"/>
    </row>
    <row r="861">
      <c r="A861" s="24"/>
      <c r="B861" s="21"/>
      <c r="C861" s="21"/>
    </row>
    <row r="862">
      <c r="A862" s="24"/>
      <c r="B862" s="21"/>
      <c r="C862" s="21"/>
    </row>
    <row r="863">
      <c r="A863" s="24"/>
      <c r="B863" s="21"/>
      <c r="C863" s="21"/>
    </row>
    <row r="864">
      <c r="A864" s="24"/>
      <c r="B864" s="21"/>
      <c r="C864" s="21"/>
    </row>
    <row r="865">
      <c r="A865" s="24"/>
      <c r="B865" s="21"/>
      <c r="C865" s="21"/>
    </row>
    <row r="866">
      <c r="A866" s="24"/>
      <c r="B866" s="21"/>
      <c r="C866" s="21"/>
    </row>
    <row r="867">
      <c r="A867" s="24"/>
      <c r="B867" s="21"/>
      <c r="C867" s="21"/>
    </row>
    <row r="868">
      <c r="A868" s="24"/>
      <c r="B868" s="21"/>
      <c r="C868" s="21"/>
    </row>
    <row r="869">
      <c r="A869" s="24"/>
      <c r="B869" s="21"/>
      <c r="C869" s="21"/>
    </row>
    <row r="870">
      <c r="A870" s="24"/>
      <c r="B870" s="21"/>
      <c r="C870" s="21"/>
    </row>
    <row r="871">
      <c r="A871" s="24"/>
      <c r="B871" s="21"/>
      <c r="C871" s="21"/>
    </row>
    <row r="872">
      <c r="A872" s="24"/>
      <c r="B872" s="21"/>
      <c r="C872" s="21"/>
    </row>
    <row r="873">
      <c r="A873" s="24"/>
      <c r="B873" s="21"/>
      <c r="C873" s="21"/>
    </row>
    <row r="874">
      <c r="A874" s="24"/>
      <c r="B874" s="21"/>
      <c r="C874" s="21"/>
    </row>
    <row r="875">
      <c r="A875" s="24"/>
      <c r="B875" s="21"/>
      <c r="C875" s="21"/>
    </row>
    <row r="876">
      <c r="A876" s="24"/>
      <c r="B876" s="21"/>
      <c r="C876" s="21"/>
    </row>
    <row r="877">
      <c r="A877" s="24"/>
      <c r="B877" s="21"/>
      <c r="C877" s="21"/>
    </row>
    <row r="878">
      <c r="A878" s="24"/>
      <c r="B878" s="21"/>
      <c r="C878" s="21"/>
    </row>
    <row r="879">
      <c r="A879" s="24"/>
      <c r="B879" s="21"/>
      <c r="C879" s="21"/>
    </row>
    <row r="880">
      <c r="A880" s="24"/>
      <c r="B880" s="21"/>
      <c r="C880" s="21"/>
    </row>
    <row r="881">
      <c r="A881" s="24"/>
      <c r="B881" s="21"/>
      <c r="C881" s="21"/>
    </row>
    <row r="882">
      <c r="A882" s="24"/>
      <c r="B882" s="21"/>
      <c r="C882" s="21"/>
    </row>
    <row r="883">
      <c r="A883" s="24"/>
      <c r="B883" s="21"/>
      <c r="C883" s="21"/>
    </row>
    <row r="884">
      <c r="A884" s="24"/>
      <c r="B884" s="21"/>
      <c r="C884" s="21"/>
    </row>
    <row r="885">
      <c r="A885" s="24"/>
      <c r="B885" s="21"/>
      <c r="C885" s="21"/>
    </row>
    <row r="886">
      <c r="A886" s="24"/>
      <c r="B886" s="21"/>
      <c r="C886" s="21"/>
    </row>
    <row r="887">
      <c r="A887" s="24"/>
      <c r="B887" s="21"/>
      <c r="C887" s="21"/>
    </row>
    <row r="888">
      <c r="A888" s="24"/>
      <c r="B888" s="21"/>
      <c r="C888" s="21"/>
    </row>
    <row r="889">
      <c r="A889" s="24"/>
      <c r="B889" s="21"/>
      <c r="C889" s="21"/>
    </row>
    <row r="890">
      <c r="A890" s="24"/>
      <c r="B890" s="21"/>
      <c r="C890" s="21"/>
    </row>
    <row r="891">
      <c r="A891" s="24"/>
      <c r="B891" s="21"/>
      <c r="C891" s="21"/>
    </row>
    <row r="892">
      <c r="A892" s="24"/>
      <c r="B892" s="21"/>
      <c r="C892" s="21"/>
    </row>
    <row r="893">
      <c r="A893" s="24"/>
      <c r="B893" s="21"/>
      <c r="C893" s="21"/>
    </row>
    <row r="894">
      <c r="A894" s="24"/>
      <c r="B894" s="21"/>
      <c r="C894" s="21"/>
    </row>
    <row r="895">
      <c r="A895" s="24"/>
      <c r="B895" s="21"/>
      <c r="C895" s="21"/>
    </row>
    <row r="896">
      <c r="A896" s="24"/>
      <c r="B896" s="21"/>
      <c r="C896" s="21"/>
    </row>
    <row r="897">
      <c r="A897" s="24"/>
      <c r="B897" s="21"/>
      <c r="C897" s="21"/>
    </row>
    <row r="898">
      <c r="A898" s="24"/>
      <c r="B898" s="21"/>
      <c r="C898" s="21"/>
    </row>
    <row r="899">
      <c r="A899" s="24"/>
      <c r="B899" s="21"/>
      <c r="C899" s="21"/>
    </row>
    <row r="900">
      <c r="A900" s="24"/>
      <c r="B900" s="21"/>
      <c r="C900" s="21"/>
    </row>
    <row r="901">
      <c r="A901" s="24"/>
      <c r="B901" s="21"/>
      <c r="C901" s="21"/>
    </row>
    <row r="902">
      <c r="A902" s="24"/>
      <c r="B902" s="21"/>
      <c r="C902" s="21"/>
    </row>
    <row r="903">
      <c r="A903" s="24"/>
      <c r="B903" s="21"/>
      <c r="C903" s="21"/>
    </row>
    <row r="904">
      <c r="A904" s="24"/>
      <c r="B904" s="21"/>
      <c r="C904" s="21"/>
    </row>
    <row r="905">
      <c r="A905" s="24"/>
      <c r="B905" s="21"/>
      <c r="C905" s="21"/>
    </row>
    <row r="906">
      <c r="A906" s="24"/>
      <c r="B906" s="21"/>
      <c r="C906" s="21"/>
    </row>
    <row r="907">
      <c r="A907" s="24"/>
      <c r="B907" s="21"/>
      <c r="C907" s="21"/>
    </row>
    <row r="908">
      <c r="A908" s="24"/>
      <c r="B908" s="21"/>
      <c r="C908" s="21"/>
    </row>
    <row r="909">
      <c r="A909" s="24"/>
      <c r="B909" s="21"/>
      <c r="C909" s="21"/>
    </row>
    <row r="910">
      <c r="A910" s="24"/>
      <c r="B910" s="21"/>
      <c r="C910" s="21"/>
    </row>
    <row r="911">
      <c r="A911" s="24"/>
      <c r="B911" s="21"/>
      <c r="C911" s="21"/>
    </row>
    <row r="912">
      <c r="A912" s="24"/>
      <c r="B912" s="21"/>
      <c r="C912" s="21"/>
    </row>
    <row r="913">
      <c r="A913" s="24"/>
      <c r="B913" s="21"/>
      <c r="C913" s="21"/>
    </row>
    <row r="914">
      <c r="A914" s="24"/>
      <c r="B914" s="21"/>
      <c r="C914" s="21"/>
    </row>
    <row r="915">
      <c r="A915" s="24"/>
      <c r="B915" s="21"/>
      <c r="C915" s="21"/>
    </row>
    <row r="916">
      <c r="A916" s="24"/>
      <c r="B916" s="21"/>
      <c r="C916" s="21"/>
    </row>
    <row r="917">
      <c r="A917" s="24"/>
      <c r="B917" s="21"/>
      <c r="C917" s="21"/>
    </row>
    <row r="918">
      <c r="A918" s="24"/>
      <c r="B918" s="21"/>
      <c r="C918" s="21"/>
    </row>
    <row r="919">
      <c r="A919" s="24"/>
      <c r="B919" s="21"/>
      <c r="C919" s="21"/>
    </row>
    <row r="920">
      <c r="A920" s="24"/>
      <c r="B920" s="21"/>
      <c r="C920" s="21"/>
    </row>
    <row r="921">
      <c r="A921" s="24"/>
      <c r="B921" s="21"/>
      <c r="C921" s="21"/>
    </row>
    <row r="922">
      <c r="A922" s="24"/>
      <c r="B922" s="21"/>
      <c r="C922" s="21"/>
    </row>
    <row r="923">
      <c r="A923" s="24"/>
      <c r="B923" s="21"/>
      <c r="C923" s="21"/>
    </row>
    <row r="924">
      <c r="A924" s="24"/>
      <c r="B924" s="21"/>
      <c r="C924" s="21"/>
    </row>
    <row r="925">
      <c r="A925" s="24"/>
      <c r="B925" s="21"/>
      <c r="C925" s="21"/>
    </row>
    <row r="926">
      <c r="A926" s="24"/>
      <c r="B926" s="21"/>
      <c r="C926" s="21"/>
    </row>
    <row r="927">
      <c r="A927" s="24"/>
      <c r="B927" s="21"/>
      <c r="C927" s="21"/>
    </row>
    <row r="928">
      <c r="A928" s="24"/>
      <c r="B928" s="21"/>
      <c r="C928" s="21"/>
    </row>
    <row r="929">
      <c r="A929" s="24"/>
      <c r="B929" s="21"/>
      <c r="C929" s="21"/>
    </row>
    <row r="930">
      <c r="A930" s="24"/>
      <c r="B930" s="21"/>
      <c r="C930" s="21"/>
    </row>
    <row r="931">
      <c r="A931" s="24"/>
      <c r="B931" s="21"/>
      <c r="C931" s="21"/>
    </row>
    <row r="932">
      <c r="A932" s="24"/>
      <c r="B932" s="21"/>
      <c r="C932" s="21"/>
    </row>
    <row r="933">
      <c r="A933" s="24"/>
      <c r="B933" s="21"/>
      <c r="C933" s="21"/>
    </row>
    <row r="934">
      <c r="A934" s="24"/>
      <c r="B934" s="21"/>
      <c r="C934" s="21"/>
    </row>
    <row r="935">
      <c r="A935" s="24"/>
      <c r="B935" s="21"/>
      <c r="C935" s="21"/>
    </row>
    <row r="936">
      <c r="A936" s="24"/>
      <c r="B936" s="21"/>
      <c r="C936" s="21"/>
    </row>
    <row r="937">
      <c r="A937" s="24"/>
      <c r="B937" s="21"/>
      <c r="C937" s="21"/>
    </row>
    <row r="938">
      <c r="A938" s="24"/>
      <c r="B938" s="21"/>
      <c r="C938" s="21"/>
    </row>
    <row r="939">
      <c r="A939" s="24"/>
      <c r="B939" s="21"/>
      <c r="C939" s="21"/>
    </row>
    <row r="940">
      <c r="A940" s="24"/>
      <c r="B940" s="21"/>
      <c r="C940" s="21"/>
    </row>
    <row r="941">
      <c r="A941" s="24"/>
      <c r="B941" s="21"/>
      <c r="C941" s="21"/>
    </row>
    <row r="942">
      <c r="A942" s="24"/>
      <c r="B942" s="21"/>
      <c r="C942" s="21"/>
    </row>
    <row r="943">
      <c r="A943" s="24"/>
      <c r="B943" s="21"/>
      <c r="C943" s="21"/>
    </row>
    <row r="944">
      <c r="A944" s="24"/>
      <c r="B944" s="21"/>
      <c r="C944" s="21"/>
    </row>
    <row r="945">
      <c r="A945" s="24"/>
      <c r="B945" s="21"/>
      <c r="C945" s="21"/>
    </row>
    <row r="946">
      <c r="A946" s="24"/>
      <c r="B946" s="21"/>
      <c r="C946" s="21"/>
    </row>
    <row r="947">
      <c r="A947" s="24"/>
      <c r="B947" s="21"/>
      <c r="C947" s="21"/>
    </row>
    <row r="948">
      <c r="A948" s="24"/>
      <c r="B948" s="21"/>
      <c r="C948" s="21"/>
    </row>
    <row r="949">
      <c r="A949" s="24"/>
      <c r="B949" s="21"/>
      <c r="C949" s="21"/>
    </row>
    <row r="950">
      <c r="A950" s="24"/>
      <c r="B950" s="21"/>
      <c r="C950" s="21"/>
    </row>
    <row r="951">
      <c r="A951" s="24"/>
      <c r="B951" s="21"/>
      <c r="C951" s="21"/>
    </row>
    <row r="952">
      <c r="A952" s="24"/>
      <c r="B952" s="21"/>
      <c r="C952" s="21"/>
    </row>
    <row r="953">
      <c r="A953" s="24"/>
      <c r="B953" s="21"/>
      <c r="C953" s="21"/>
    </row>
    <row r="954">
      <c r="A954" s="24"/>
      <c r="B954" s="21"/>
      <c r="C954" s="21"/>
    </row>
    <row r="955">
      <c r="A955" s="24"/>
      <c r="B955" s="21"/>
      <c r="C955" s="21"/>
    </row>
    <row r="956">
      <c r="A956" s="24"/>
      <c r="B956" s="21"/>
      <c r="C956" s="21"/>
    </row>
    <row r="957">
      <c r="A957" s="24"/>
      <c r="B957" s="21"/>
      <c r="C957" s="21"/>
    </row>
    <row r="958">
      <c r="A958" s="24"/>
      <c r="B958" s="21"/>
      <c r="C958" s="21"/>
    </row>
    <row r="959">
      <c r="A959" s="24"/>
      <c r="B959" s="21"/>
      <c r="C959" s="21"/>
    </row>
    <row r="960">
      <c r="A960" s="24"/>
      <c r="B960" s="21"/>
      <c r="C960" s="21"/>
    </row>
    <row r="961">
      <c r="A961" s="24"/>
      <c r="B961" s="21"/>
      <c r="C961" s="21"/>
    </row>
    <row r="962">
      <c r="A962" s="24"/>
      <c r="B962" s="21"/>
      <c r="C962" s="21"/>
    </row>
    <row r="963">
      <c r="A963" s="24"/>
      <c r="B963" s="21"/>
      <c r="C963" s="21"/>
    </row>
    <row r="964">
      <c r="A964" s="24"/>
      <c r="B964" s="21"/>
      <c r="C964" s="21"/>
    </row>
    <row r="965">
      <c r="A965" s="24"/>
      <c r="B965" s="21"/>
      <c r="C965" s="21"/>
    </row>
    <row r="966">
      <c r="A966" s="24"/>
      <c r="B966" s="21"/>
      <c r="C966" s="21"/>
    </row>
    <row r="967">
      <c r="A967" s="24"/>
      <c r="B967" s="21"/>
      <c r="C967" s="21"/>
    </row>
    <row r="968">
      <c r="A968" s="24"/>
      <c r="B968" s="21"/>
      <c r="C968" s="21"/>
    </row>
    <row r="969">
      <c r="A969" s="24"/>
      <c r="B969" s="21"/>
      <c r="C969" s="21"/>
    </row>
    <row r="970">
      <c r="A970" s="24"/>
      <c r="B970" s="21"/>
      <c r="C970" s="21"/>
    </row>
    <row r="971">
      <c r="A971" s="24"/>
      <c r="B971" s="21"/>
      <c r="C971" s="21"/>
    </row>
    <row r="972">
      <c r="A972" s="24"/>
      <c r="B972" s="21"/>
      <c r="C972" s="21"/>
    </row>
    <row r="973">
      <c r="A973" s="24"/>
      <c r="B973" s="21"/>
      <c r="C973" s="21"/>
    </row>
    <row r="974">
      <c r="A974" s="24"/>
      <c r="B974" s="21"/>
      <c r="C974" s="21"/>
    </row>
    <row r="975">
      <c r="A975" s="24"/>
      <c r="B975" s="21"/>
      <c r="C975" s="21"/>
    </row>
    <row r="976">
      <c r="A976" s="24"/>
      <c r="B976" s="21"/>
      <c r="C976" s="21"/>
    </row>
    <row r="977">
      <c r="A977" s="24"/>
      <c r="B977" s="21"/>
      <c r="C977" s="21"/>
    </row>
    <row r="978">
      <c r="A978" s="24"/>
      <c r="B978" s="21"/>
      <c r="C978" s="21"/>
    </row>
    <row r="979">
      <c r="A979" s="24"/>
      <c r="B979" s="21"/>
      <c r="C979" s="21"/>
    </row>
    <row r="980">
      <c r="A980" s="24"/>
      <c r="B980" s="21"/>
      <c r="C980" s="21"/>
    </row>
    <row r="981">
      <c r="A981" s="24"/>
      <c r="B981" s="21"/>
      <c r="C981" s="21"/>
    </row>
    <row r="982">
      <c r="A982" s="24"/>
      <c r="B982" s="21"/>
      <c r="C982" s="21"/>
    </row>
    <row r="983">
      <c r="A983" s="24"/>
      <c r="B983" s="21"/>
      <c r="C983" s="21"/>
    </row>
    <row r="984">
      <c r="A984" s="24"/>
      <c r="B984" s="21"/>
      <c r="C984" s="21"/>
    </row>
    <row r="985">
      <c r="A985" s="24"/>
      <c r="B985" s="21"/>
      <c r="C985" s="21"/>
    </row>
    <row r="986">
      <c r="A986" s="24"/>
      <c r="B986" s="21"/>
      <c r="C986" s="21"/>
    </row>
    <row r="987">
      <c r="A987" s="24"/>
      <c r="B987" s="21"/>
      <c r="C987" s="21"/>
    </row>
    <row r="988">
      <c r="A988" s="24"/>
      <c r="B988" s="21"/>
      <c r="C988" s="21"/>
    </row>
    <row r="989">
      <c r="A989" s="24"/>
      <c r="B989" s="21"/>
      <c r="C989" s="21"/>
    </row>
    <row r="990">
      <c r="A990" s="24"/>
      <c r="B990" s="21"/>
      <c r="C990" s="21"/>
    </row>
    <row r="991">
      <c r="A991" s="24"/>
      <c r="B991" s="21"/>
      <c r="C991" s="21"/>
    </row>
    <row r="992">
      <c r="A992" s="24"/>
      <c r="B992" s="21"/>
      <c r="C992" s="21"/>
    </row>
    <row r="993">
      <c r="A993" s="24"/>
      <c r="B993" s="21"/>
      <c r="C993" s="21"/>
    </row>
    <row r="994">
      <c r="A994" s="24"/>
      <c r="B994" s="21"/>
      <c r="C994" s="21"/>
    </row>
    <row r="995">
      <c r="A995" s="24"/>
      <c r="B995" s="21"/>
      <c r="C995" s="21"/>
    </row>
    <row r="996">
      <c r="A996" s="24"/>
      <c r="B996" s="21"/>
      <c r="C996" s="21"/>
    </row>
    <row r="997">
      <c r="A997" s="24"/>
      <c r="B997" s="21"/>
      <c r="C997" s="21"/>
    </row>
    <row r="998">
      <c r="A998" s="24"/>
      <c r="B998" s="21"/>
      <c r="C998" s="21"/>
    </row>
    <row r="999">
      <c r="A999" s="24"/>
      <c r="B999" s="21"/>
      <c r="C999" s="21"/>
    </row>
    <row r="1000">
      <c r="A1000" s="24"/>
      <c r="B1000" s="21"/>
      <c r="C1000" s="21"/>
    </row>
  </sheetData>
  <mergeCells count="1">
    <mergeCell ref="E13:H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8.0"/>
    <col customWidth="1" min="3" max="3" width="15.0"/>
    <col customWidth="1" min="11" max="11" width="24.13"/>
  </cols>
  <sheetData>
    <row r="1">
      <c r="A1" s="40" t="s">
        <v>0</v>
      </c>
      <c r="B1" s="41" t="s">
        <v>11</v>
      </c>
      <c r="C1" s="27" t="s">
        <v>12</v>
      </c>
      <c r="F1" s="47" t="s">
        <v>37</v>
      </c>
    </row>
    <row r="2">
      <c r="A2" s="20">
        <v>46057.0</v>
      </c>
      <c r="B2" s="21">
        <f>vlookup(A2,combine!A1:E55,4,0)</f>
        <v>0</v>
      </c>
      <c r="C2" s="21">
        <f>vlookup(A2,combine!A1:E55,5,0)</f>
        <v>0</v>
      </c>
      <c r="F2" s="48" t="s">
        <v>38</v>
      </c>
      <c r="L2" s="49"/>
    </row>
    <row r="3">
      <c r="A3" s="20">
        <v>46055.0</v>
      </c>
      <c r="B3" s="21">
        <f>vlookup(A3,combine!A2:E56,4,0)</f>
        <v>0.06346180035</v>
      </c>
      <c r="C3" s="21">
        <f>vlookup(A3,combine!A2:E56,5,0)</f>
        <v>0.02770083102</v>
      </c>
    </row>
    <row r="4">
      <c r="A4" s="20">
        <v>46048.0</v>
      </c>
      <c r="B4" s="21">
        <f>vlookup(A4,combine!A3:E57,4,0)</f>
        <v>0.01324686077</v>
      </c>
      <c r="C4" s="21">
        <f>vlookup(A4,combine!A3:E57,5,0)</f>
        <v>0.009507829978</v>
      </c>
      <c r="F4" s="50" t="s">
        <v>39</v>
      </c>
      <c r="G4" s="46" t="s">
        <v>40</v>
      </c>
      <c r="H4" s="46"/>
    </row>
    <row r="5">
      <c r="A5" s="20">
        <v>46041.0</v>
      </c>
      <c r="B5" s="21">
        <f>vlookup(A5,combine!A4:E58,4,0)</f>
        <v>-0.03681552366</v>
      </c>
      <c r="C5" s="21">
        <f>vlookup(A5,combine!A4:E58,5,0)</f>
        <v>-0.05396825397</v>
      </c>
      <c r="F5" s="50" t="s">
        <v>41</v>
      </c>
      <c r="G5" s="46" t="s">
        <v>42</v>
      </c>
      <c r="J5" s="41" t="s">
        <v>11</v>
      </c>
      <c r="K5" s="27" t="s">
        <v>12</v>
      </c>
    </row>
    <row r="6">
      <c r="A6" s="20">
        <v>46034.0</v>
      </c>
      <c r="B6" s="21">
        <f>vlookup(A6,combine!A5:E59,4,0)</f>
        <v>-0.002254342925</v>
      </c>
      <c r="C6" s="21">
        <f>vlookup(A6,combine!A5:E59,5,0)</f>
        <v>0.1059098888</v>
      </c>
      <c r="I6" s="50" t="s">
        <v>43</v>
      </c>
      <c r="J6" s="21">
        <f t="shared" ref="J6:K6" si="1">_xlfn.VAR.S(B:B)</f>
        <v>0.001213010398</v>
      </c>
      <c r="K6" s="21">
        <f t="shared" si="1"/>
        <v>0.002568629883</v>
      </c>
    </row>
    <row r="7">
      <c r="A7" s="20">
        <v>46027.0</v>
      </c>
      <c r="B7" s="21">
        <f>vlookup(A7,combine!A6:E60,4,0)</f>
        <v>-0.04229108458</v>
      </c>
      <c r="C7" s="21">
        <f>vlookup(A7,combine!A6:E60,5,0)</f>
        <v>0.07013149656</v>
      </c>
      <c r="F7" s="50" t="s">
        <v>44</v>
      </c>
      <c r="G7" s="46">
        <v>53.0</v>
      </c>
    </row>
    <row r="8">
      <c r="A8" s="20">
        <v>46020.0</v>
      </c>
      <c r="B8" s="21">
        <f>vlookup(A8,combine!A7:E61,4,0)</f>
        <v>0.01169214956</v>
      </c>
      <c r="C8" s="21">
        <f>vlookup(A8,combine!A7:E61,5,0)</f>
        <v>0.005034612964</v>
      </c>
      <c r="F8" s="50" t="s">
        <v>45</v>
      </c>
      <c r="G8" s="46">
        <v>52.0</v>
      </c>
    </row>
    <row r="9">
      <c r="A9" s="20">
        <v>46013.0</v>
      </c>
      <c r="B9" s="21">
        <f>vlookup(A9,combine!A8:E62,4,0)</f>
        <v>-0.01218428735</v>
      </c>
      <c r="C9" s="21">
        <f>vlookup(A9,combine!A8:E62,5,0)</f>
        <v>0.009529860229</v>
      </c>
      <c r="F9" s="50" t="s">
        <v>46</v>
      </c>
      <c r="G9" s="46">
        <v>52.0</v>
      </c>
    </row>
    <row r="10">
      <c r="A10" s="20">
        <v>46006.0</v>
      </c>
      <c r="B10" s="21">
        <f>vlookup(A10,combine!A9:E63,4,0)</f>
        <v>0.01077613855</v>
      </c>
      <c r="C10" s="21">
        <f>vlookup(A10,combine!A9:E63,5,0)</f>
        <v>-0.01686445971</v>
      </c>
      <c r="F10" s="46" t="s">
        <v>47</v>
      </c>
      <c r="G10" s="46" t="s">
        <v>48</v>
      </c>
    </row>
    <row r="11">
      <c r="A11" s="20">
        <v>45999.0</v>
      </c>
      <c r="B11" s="21">
        <f>vlookup(A11,combine!A10:E64,4,0)</f>
        <v>-0.01103780766</v>
      </c>
      <c r="C11" s="21">
        <f>vlookup(A11,combine!A10:E64,5,0)</f>
        <v>-0.01658476658</v>
      </c>
      <c r="E11" s="39"/>
      <c r="F11" s="50" t="s">
        <v>49</v>
      </c>
      <c r="G11" s="32">
        <f>K6/J6</f>
        <v>2.117566253</v>
      </c>
    </row>
    <row r="12">
      <c r="A12" s="20">
        <v>45992.0</v>
      </c>
      <c r="B12" s="21">
        <f>vlookup(A12,combine!A11:E65,4,0)</f>
        <v>-0.01265188526</v>
      </c>
      <c r="C12" s="21">
        <f>vlookup(A12,combine!A11:E65,5,0)</f>
        <v>0.03168567807</v>
      </c>
      <c r="F12" s="50" t="s">
        <v>50</v>
      </c>
      <c r="G12" s="51">
        <f>_xlfn.F.DIST.RT(G11,52,52)</f>
        <v>0.003887432314</v>
      </c>
      <c r="H12" s="46" t="s">
        <v>51</v>
      </c>
      <c r="I12" s="47" t="s">
        <v>52</v>
      </c>
    </row>
    <row r="13">
      <c r="A13" s="20">
        <v>45985.0</v>
      </c>
      <c r="B13" s="21">
        <f>vlookup(A13,combine!A12:E66,4,0)</f>
        <v>-0.0116379844</v>
      </c>
      <c r="C13" s="21">
        <f>vlookup(A13,combine!A12:E66,5,0)</f>
        <v>0.03815789474</v>
      </c>
      <c r="I13" s="48" t="s">
        <v>53</v>
      </c>
    </row>
    <row r="14">
      <c r="A14" s="20">
        <v>45978.0</v>
      </c>
      <c r="B14" s="21">
        <f>vlookup(A14,combine!A13:E67,4,0)</f>
        <v>0.005727804757</v>
      </c>
      <c r="C14" s="21">
        <f>vlookup(A14,combine!A13:E67,5,0)</f>
        <v>-0.03736542115</v>
      </c>
    </row>
    <row r="15">
      <c r="A15" s="20">
        <v>45971.0</v>
      </c>
      <c r="B15" s="21">
        <f>vlookup(A15,combine!A14:E68,4,0)</f>
        <v>0.01504044489</v>
      </c>
      <c r="C15" s="21">
        <f>vlookup(A15,combine!A14:E68,5,0)</f>
        <v>0.04708222812</v>
      </c>
    </row>
    <row r="16">
      <c r="A16" s="20">
        <v>45964.0</v>
      </c>
      <c r="B16" s="21">
        <f>vlookup(A16,combine!A15:E69,4,0)</f>
        <v>0.02913631634</v>
      </c>
      <c r="C16" s="21">
        <f>vlookup(A16,combine!A15:E69,5,0)</f>
        <v>-0.003304692664</v>
      </c>
    </row>
    <row r="17">
      <c r="A17" s="20">
        <v>45957.0</v>
      </c>
      <c r="B17" s="21">
        <f>vlookup(A17,combine!A16:E70,4,0)</f>
        <v>-0.0403195606</v>
      </c>
      <c r="C17" s="21">
        <f>vlookup(A17,combine!A16:E70,5,0)</f>
        <v>0.02437373053</v>
      </c>
    </row>
    <row r="18">
      <c r="A18" s="20">
        <v>45950.0</v>
      </c>
      <c r="B18" s="21">
        <f>vlookup(A18,combine!A17:E71,4,0)</f>
        <v>-0.05564069315</v>
      </c>
      <c r="C18" s="21">
        <f>vlookup(A18,combine!A17:E71,5,0)</f>
        <v>-0.01533333333</v>
      </c>
    </row>
    <row r="19">
      <c r="A19" s="20">
        <v>45943.0</v>
      </c>
      <c r="B19" s="21">
        <f>vlookup(A19,combine!A18:E72,4,0)</f>
        <v>0.1219415421</v>
      </c>
      <c r="C19" s="21">
        <f>vlookup(A19,combine!A18:E72,5,0)</f>
        <v>0.02599179207</v>
      </c>
    </row>
    <row r="20">
      <c r="A20" s="20">
        <v>45936.0</v>
      </c>
      <c r="B20" s="21">
        <f>vlookup(A20,combine!A19:E73,4,0)</f>
        <v>0.01900269542</v>
      </c>
      <c r="C20" s="21">
        <f>vlookup(A20,combine!A19:E73,5,0)</f>
        <v>-0.07233502538</v>
      </c>
    </row>
    <row r="21">
      <c r="A21" s="20">
        <v>45929.0</v>
      </c>
      <c r="B21" s="21">
        <f>vlookup(A21,combine!A20:E74,4,0)</f>
        <v>0.04301377565</v>
      </c>
      <c r="C21" s="21">
        <f>vlookup(A21,combine!A20:E74,5,0)</f>
        <v>-0.0174563591</v>
      </c>
    </row>
    <row r="22">
      <c r="A22" s="20">
        <v>45922.0</v>
      </c>
      <c r="B22" s="21">
        <f>vlookup(A22,combine!A21:E75,4,0)</f>
        <v>-0.0176746755</v>
      </c>
      <c r="C22" s="21">
        <f>vlookup(A22,combine!A21:E75,5,0)</f>
        <v>0.0119873817</v>
      </c>
    </row>
    <row r="23">
      <c r="A23" s="20">
        <v>45915.0</v>
      </c>
      <c r="B23" s="21">
        <f>vlookup(A23,combine!A22:E76,4,0)</f>
        <v>-0.00767333516</v>
      </c>
      <c r="C23" s="21">
        <f>vlookup(A23,combine!A22:E76,5,0)</f>
        <v>0.01798330122</v>
      </c>
    </row>
    <row r="24">
      <c r="A24" s="20">
        <v>45908.0</v>
      </c>
      <c r="B24" s="21">
        <f>vlookup(A24,combine!A23:E77,4,0)</f>
        <v>-0.03222384299</v>
      </c>
      <c r="C24" s="21">
        <f>vlookup(A24,combine!A23:E77,5,0)</f>
        <v>0.01964636542</v>
      </c>
    </row>
    <row r="25">
      <c r="A25" s="20">
        <v>45901.0</v>
      </c>
      <c r="B25" s="21">
        <f>vlookup(A25,combine!A24:E78,4,0)</f>
        <v>0.0002652871734</v>
      </c>
      <c r="C25" s="21">
        <f>vlookup(A25,combine!A24:E78,5,0)</f>
        <v>-0.001308044474</v>
      </c>
    </row>
    <row r="26">
      <c r="A26" s="20">
        <v>45894.0</v>
      </c>
      <c r="B26" s="21">
        <f>vlookup(A26,combine!A25:E79,4,0)</f>
        <v>0.000398089172</v>
      </c>
      <c r="C26" s="21">
        <f>vlookup(A26,combine!A25:E79,5,0)</f>
        <v>-0.01987179487</v>
      </c>
    </row>
    <row r="27">
      <c r="A27" s="20">
        <v>45887.0</v>
      </c>
      <c r="B27" s="21">
        <f>vlookup(A27,combine!A26:E80,4,0)</f>
        <v>0.0417473044</v>
      </c>
      <c r="C27" s="21">
        <f>vlookup(A27,combine!A26:E80,5,0)</f>
        <v>-0.01886792453</v>
      </c>
    </row>
    <row r="28">
      <c r="A28" s="20">
        <v>45880.0</v>
      </c>
      <c r="B28" s="21">
        <f>vlookup(A28,combine!A27:E81,4,0)</f>
        <v>0.003328710125</v>
      </c>
      <c r="C28" s="21">
        <f>vlookup(A28,combine!A27:E81,5,0)</f>
        <v>0.09203296703</v>
      </c>
    </row>
    <row r="29">
      <c r="A29" s="20">
        <v>45873.0</v>
      </c>
      <c r="B29" s="21">
        <f>vlookup(A29,combine!A28:E82,4,0)</f>
        <v>0.01406469761</v>
      </c>
      <c r="C29" s="21">
        <f>vlookup(A29,combine!A28:E82,5,0)</f>
        <v>0.04597701149</v>
      </c>
    </row>
    <row r="30">
      <c r="A30" s="20">
        <v>45866.0</v>
      </c>
      <c r="B30" s="21">
        <f>vlookup(A30,combine!A29:E83,4,0)</f>
        <v>-0.03027823241</v>
      </c>
      <c r="C30" s="21">
        <f>vlookup(A30,combine!A29:E83,5,0)</f>
        <v>-0.05112474438</v>
      </c>
    </row>
    <row r="31">
      <c r="A31" s="20">
        <v>45859.0</v>
      </c>
      <c r="B31" s="21">
        <f>vlookup(A31,combine!A30:E84,4,0)</f>
        <v>-0.0566134843</v>
      </c>
      <c r="C31" s="21">
        <f>vlookup(A31,combine!A30:E84,5,0)</f>
        <v>0.1038374718</v>
      </c>
    </row>
    <row r="32">
      <c r="A32" s="20">
        <v>45852.0</v>
      </c>
      <c r="B32" s="21">
        <f>vlookup(A32,combine!A31:E85,4,0)</f>
        <v>0.009481750877</v>
      </c>
      <c r="C32" s="21">
        <f>vlookup(A32,combine!A31:E85,5,0)</f>
        <v>-0.0292184076</v>
      </c>
    </row>
    <row r="33">
      <c r="A33" s="20">
        <v>45845.0</v>
      </c>
      <c r="B33" s="21">
        <f>vlookup(A33,combine!A32:E86,4,0)</f>
        <v>-0.02876245742</v>
      </c>
      <c r="C33" s="21">
        <f>vlookup(A33,combine!A32:E86,5,0)</f>
        <v>-0.01934097421</v>
      </c>
    </row>
    <row r="34">
      <c r="A34" s="20">
        <v>45838.0</v>
      </c>
      <c r="B34" s="21">
        <f>vlookup(A34,combine!A33:E87,4,0)</f>
        <v>-0.0002522386177</v>
      </c>
      <c r="C34" s="21">
        <f>vlookup(A34,combine!A33:E87,5,0)</f>
        <v>0.005039596832</v>
      </c>
    </row>
    <row r="35">
      <c r="A35" s="20">
        <v>45831.0</v>
      </c>
      <c r="B35" s="21">
        <f>vlookup(A35,combine!A34:E88,4,0)</f>
        <v>-0.02759381898</v>
      </c>
      <c r="C35" s="21">
        <f>vlookup(A35,combine!A34:E88,5,0)</f>
        <v>0.0281273131</v>
      </c>
    </row>
    <row r="36">
      <c r="A36" s="20">
        <v>45824.0</v>
      </c>
      <c r="B36" s="21">
        <f>vlookup(A36,combine!A35:E89,4,0)</f>
        <v>-0.03216617211</v>
      </c>
      <c r="C36" s="21">
        <f>vlookup(A36,combine!A35:E89,5,0)</f>
        <v>-0.007347538575</v>
      </c>
    </row>
    <row r="37">
      <c r="A37" s="20">
        <v>45817.0</v>
      </c>
      <c r="B37" s="21">
        <f>vlookup(A37,combine!A36:E90,4,0)</f>
        <v>-0.02825836217</v>
      </c>
      <c r="C37" s="21">
        <f>vlookup(A37,combine!A36:E90,5,0)</f>
        <v>-0.01661849711</v>
      </c>
    </row>
    <row r="38">
      <c r="A38" s="20">
        <v>45810.0</v>
      </c>
      <c r="B38" s="21">
        <f>vlookup(A38,combine!A37:E91,4,0)</f>
        <v>-0.01140250855</v>
      </c>
      <c r="C38" s="21">
        <f>vlookup(A38,combine!A37:E91,5,0)</f>
        <v>-0.01983002833</v>
      </c>
    </row>
    <row r="39">
      <c r="A39" s="20">
        <v>45803.0</v>
      </c>
      <c r="B39" s="21">
        <f>vlookup(A39,combine!A38:E92,4,0)</f>
        <v>-0.00926344329</v>
      </c>
      <c r="C39" s="21">
        <f>vlookup(A39,combine!A38:E92,5,0)</f>
        <v>0.04283604136</v>
      </c>
    </row>
    <row r="40">
      <c r="A40" s="20">
        <v>45796.0</v>
      </c>
      <c r="B40" s="21">
        <f>vlookup(A40,combine!A39:E93,4,0)</f>
        <v>0.0235892692</v>
      </c>
      <c r="C40" s="21">
        <f>vlookup(A40,combine!A39:E93,5,0)</f>
        <v>0</v>
      </c>
    </row>
    <row r="41">
      <c r="A41" s="20">
        <v>45789.0</v>
      </c>
      <c r="B41" s="21">
        <f>vlookup(A41,combine!A40:E94,4,0)</f>
        <v>-0.01334854535</v>
      </c>
      <c r="C41" s="21">
        <f>vlookup(A41,combine!A40:E94,5,0)</f>
        <v>0.08060654429</v>
      </c>
    </row>
    <row r="42">
      <c r="A42" s="20">
        <v>45782.0</v>
      </c>
      <c r="B42" s="21">
        <f>vlookup(A42,combine!A41:E95,4,0)</f>
        <v>0.0005707762557</v>
      </c>
      <c r="C42" s="21">
        <f>vlookup(A42,combine!A41:E95,5,0)</f>
        <v>0.01869918699</v>
      </c>
    </row>
    <row r="43">
      <c r="A43" s="20">
        <v>45775.0</v>
      </c>
      <c r="B43" s="21">
        <f>vlookup(A43,combine!A42:E96,4,0)</f>
        <v>0.06152223151</v>
      </c>
      <c r="C43" s="21">
        <f>vlookup(A43,combine!A42:E96,5,0)</f>
        <v>0.002444987775</v>
      </c>
    </row>
    <row r="44">
      <c r="A44" s="20">
        <v>45768.0</v>
      </c>
      <c r="B44" s="21">
        <f>vlookup(A44,combine!A43:E97,4,0)</f>
        <v>-0.002228500184</v>
      </c>
      <c r="C44" s="21">
        <f>vlookup(A44,combine!A43:E97,5,0)</f>
        <v>0.03369839933</v>
      </c>
    </row>
    <row r="45">
      <c r="A45" s="20">
        <v>45761.0</v>
      </c>
      <c r="B45" s="21">
        <f>vlookup(A45,combine!A44:E98,4,0)</f>
        <v>-0.002223545014</v>
      </c>
      <c r="C45" s="21">
        <f>vlookup(A45,combine!A44:E98,5,0)</f>
        <v>0.02415875755</v>
      </c>
    </row>
    <row r="46">
      <c r="A46" s="20">
        <v>45754.0</v>
      </c>
      <c r="B46" s="21">
        <f>vlookup(A46,combine!A45:E99,4,0)</f>
        <v>-0.002218611831</v>
      </c>
      <c r="C46" s="21">
        <f>vlookup(A46,combine!A45:E99,5,0)</f>
        <v>0.06820276498</v>
      </c>
    </row>
    <row r="47">
      <c r="A47" s="20">
        <v>45747.0</v>
      </c>
      <c r="B47" s="21">
        <f>vlookup(A47,combine!A46:E100,4,0)</f>
        <v>-0.002213700489</v>
      </c>
      <c r="C47" s="21">
        <f>vlookup(A47,combine!A46:E100,5,0)</f>
        <v>-0.2086068563</v>
      </c>
    </row>
    <row r="48">
      <c r="A48" s="20">
        <v>45740.0</v>
      </c>
      <c r="B48" s="21">
        <f>vlookup(A48,combine!A47:E101,4,0)</f>
        <v>-0.002208810843</v>
      </c>
      <c r="C48" s="21">
        <f>vlookup(A48,combine!A47:E101,5,0)</f>
        <v>-0.06671204901</v>
      </c>
    </row>
    <row r="49">
      <c r="A49" s="20">
        <v>45733.0</v>
      </c>
      <c r="B49" s="21">
        <f>vlookup(A49,combine!A48:E102,4,0)</f>
        <v>-0.00220394275</v>
      </c>
      <c r="C49" s="21">
        <f>vlookup(A49,combine!A48:E102,5,0)</f>
        <v>0.09626865672</v>
      </c>
    </row>
    <row r="50">
      <c r="A50" s="20">
        <v>45726.0</v>
      </c>
      <c r="B50" s="21">
        <f>vlookup(A50,combine!A49:E103,4,0)</f>
        <v>-0.002199096068</v>
      </c>
      <c r="C50" s="21">
        <f>vlookup(A50,combine!A49:E103,5,0)</f>
        <v>0.04933437745</v>
      </c>
    </row>
    <row r="51">
      <c r="A51" s="20">
        <v>45719.0</v>
      </c>
      <c r="B51" s="21">
        <f>vlookup(A51,combine!A50:E104,4,0)</f>
        <v>-0.002194270656</v>
      </c>
      <c r="C51" s="21">
        <f>vlookup(A51,combine!A50:E104,5,0)</f>
        <v>0.02241793435</v>
      </c>
    </row>
    <row r="52">
      <c r="A52" s="20">
        <v>45712.0</v>
      </c>
      <c r="B52" s="21">
        <f>vlookup(A52,combine!A51:E105,4,0)</f>
        <v>-0.002189466375</v>
      </c>
      <c r="C52" s="21">
        <f>vlookup(A52,combine!A51:E105,5,0)</f>
        <v>0.007258064516</v>
      </c>
    </row>
    <row r="53">
      <c r="A53" s="20">
        <v>45705.0</v>
      </c>
      <c r="B53" s="21">
        <f>vlookup(A53,combine!A52:E106,4,0)</f>
        <v>-0.002184683084</v>
      </c>
      <c r="C53" s="21">
        <f>vlookup(A53,combine!A52:E106,5,0)</f>
        <v>-0.0127388535</v>
      </c>
    </row>
    <row r="54">
      <c r="A54" s="20">
        <v>45698.0</v>
      </c>
      <c r="B54" s="21">
        <f>vlookup(A54,combine!A53:E107,4,0)</f>
        <v>0.1277387179</v>
      </c>
      <c r="C54" s="21">
        <f>vlookup(A54,combine!A53:E107,5,0)</f>
        <v>0.02113821138</v>
      </c>
    </row>
    <row r="55">
      <c r="A55" s="20"/>
      <c r="B55" s="21"/>
      <c r="C55" s="21"/>
    </row>
    <row r="56">
      <c r="A56" s="24"/>
      <c r="B56" s="21"/>
      <c r="C56" s="21"/>
    </row>
    <row r="57">
      <c r="A57" s="24"/>
      <c r="B57" s="21"/>
      <c r="C57" s="21"/>
    </row>
    <row r="58">
      <c r="A58" s="24"/>
      <c r="B58" s="21"/>
      <c r="C58" s="21"/>
    </row>
    <row r="59">
      <c r="A59" s="24"/>
      <c r="B59" s="21"/>
      <c r="C59" s="21"/>
    </row>
    <row r="60">
      <c r="A60" s="24"/>
      <c r="B60" s="21"/>
      <c r="C60" s="21"/>
    </row>
    <row r="61">
      <c r="A61" s="24"/>
      <c r="B61" s="21"/>
      <c r="C61" s="21"/>
    </row>
    <row r="62">
      <c r="A62" s="24"/>
      <c r="B62" s="21"/>
      <c r="C62" s="21"/>
    </row>
    <row r="63">
      <c r="A63" s="24"/>
      <c r="B63" s="21"/>
      <c r="C63" s="21"/>
    </row>
    <row r="64">
      <c r="A64" s="24"/>
      <c r="B64" s="21"/>
      <c r="C64" s="21"/>
    </row>
    <row r="65">
      <c r="A65" s="24"/>
      <c r="B65" s="21"/>
      <c r="C65" s="21"/>
    </row>
    <row r="66">
      <c r="A66" s="24"/>
      <c r="B66" s="21"/>
      <c r="C66" s="21"/>
    </row>
    <row r="67">
      <c r="A67" s="24"/>
      <c r="B67" s="21"/>
      <c r="C67" s="21"/>
    </row>
    <row r="68">
      <c r="A68" s="24"/>
      <c r="B68" s="21"/>
      <c r="C68" s="21"/>
    </row>
    <row r="69">
      <c r="A69" s="24"/>
      <c r="B69" s="21"/>
      <c r="C69" s="21"/>
    </row>
    <row r="70">
      <c r="A70" s="24"/>
      <c r="B70" s="21"/>
      <c r="C70" s="21"/>
    </row>
    <row r="71">
      <c r="A71" s="24"/>
      <c r="B71" s="21"/>
      <c r="C71" s="21"/>
    </row>
    <row r="72">
      <c r="A72" s="24"/>
      <c r="B72" s="21"/>
      <c r="C72" s="21"/>
    </row>
    <row r="73">
      <c r="A73" s="24"/>
      <c r="B73" s="21"/>
      <c r="C73" s="21"/>
    </row>
    <row r="74">
      <c r="A74" s="24"/>
      <c r="B74" s="21"/>
      <c r="C74" s="21"/>
    </row>
    <row r="75">
      <c r="A75" s="24"/>
      <c r="B75" s="21"/>
      <c r="C75" s="21"/>
    </row>
    <row r="76">
      <c r="A76" s="24"/>
      <c r="B76" s="21"/>
      <c r="C76" s="21"/>
    </row>
    <row r="77">
      <c r="A77" s="24"/>
      <c r="B77" s="21"/>
      <c r="C77" s="21"/>
    </row>
    <row r="78">
      <c r="A78" s="24"/>
      <c r="B78" s="21"/>
      <c r="C78" s="21"/>
    </row>
    <row r="79">
      <c r="A79" s="24"/>
      <c r="B79" s="21"/>
      <c r="C79" s="21"/>
    </row>
    <row r="80">
      <c r="A80" s="24"/>
      <c r="B80" s="21"/>
      <c r="C80" s="21"/>
    </row>
    <row r="81">
      <c r="A81" s="24"/>
      <c r="B81" s="21"/>
      <c r="C81" s="21"/>
    </row>
    <row r="82">
      <c r="A82" s="24"/>
      <c r="B82" s="21"/>
      <c r="C82" s="21"/>
    </row>
    <row r="83">
      <c r="A83" s="24"/>
      <c r="B83" s="21"/>
      <c r="C83" s="21"/>
    </row>
    <row r="84">
      <c r="A84" s="24"/>
      <c r="B84" s="21"/>
      <c r="C84" s="21"/>
    </row>
    <row r="85">
      <c r="A85" s="24"/>
      <c r="B85" s="21"/>
      <c r="C85" s="21"/>
    </row>
    <row r="86">
      <c r="A86" s="24"/>
      <c r="B86" s="21"/>
      <c r="C86" s="21"/>
    </row>
    <row r="87">
      <c r="A87" s="24"/>
      <c r="B87" s="21"/>
      <c r="C87" s="21"/>
    </row>
    <row r="88">
      <c r="A88" s="24"/>
      <c r="B88" s="21"/>
      <c r="C88" s="21"/>
    </row>
    <row r="89">
      <c r="A89" s="24"/>
      <c r="B89" s="21"/>
      <c r="C89" s="21"/>
    </row>
    <row r="90">
      <c r="A90" s="24"/>
      <c r="B90" s="21"/>
      <c r="C90" s="21"/>
    </row>
    <row r="91">
      <c r="A91" s="24"/>
      <c r="B91" s="21"/>
      <c r="C91" s="21"/>
    </row>
    <row r="92">
      <c r="A92" s="24"/>
      <c r="B92" s="21"/>
      <c r="C92" s="21"/>
    </row>
    <row r="93">
      <c r="A93" s="24"/>
      <c r="B93" s="21"/>
      <c r="C93" s="21"/>
    </row>
    <row r="94">
      <c r="A94" s="24"/>
      <c r="B94" s="21"/>
      <c r="C94" s="21"/>
    </row>
    <row r="95">
      <c r="A95" s="24"/>
      <c r="B95" s="21"/>
      <c r="C95" s="21"/>
    </row>
    <row r="96">
      <c r="A96" s="24"/>
      <c r="B96" s="21"/>
      <c r="C96" s="21"/>
    </row>
    <row r="97">
      <c r="A97" s="24"/>
      <c r="B97" s="21"/>
      <c r="C97" s="21"/>
    </row>
    <row r="98">
      <c r="A98" s="24"/>
      <c r="B98" s="21"/>
      <c r="C98" s="21"/>
    </row>
    <row r="99">
      <c r="A99" s="24"/>
      <c r="B99" s="21"/>
      <c r="C99" s="21"/>
    </row>
    <row r="100">
      <c r="A100" s="24"/>
      <c r="B100" s="21"/>
      <c r="C100" s="21"/>
    </row>
    <row r="101">
      <c r="A101" s="24"/>
      <c r="B101" s="21"/>
      <c r="C101" s="21"/>
    </row>
    <row r="102">
      <c r="A102" s="24"/>
      <c r="B102" s="21"/>
      <c r="C102" s="21"/>
    </row>
    <row r="103">
      <c r="A103" s="24"/>
      <c r="B103" s="21"/>
      <c r="C103" s="21"/>
    </row>
    <row r="104">
      <c r="A104" s="24"/>
      <c r="B104" s="21"/>
      <c r="C104" s="21"/>
    </row>
    <row r="105">
      <c r="A105" s="24"/>
      <c r="B105" s="21"/>
      <c r="C105" s="21"/>
    </row>
    <row r="106">
      <c r="A106" s="24"/>
      <c r="B106" s="21"/>
      <c r="C106" s="21"/>
    </row>
    <row r="107">
      <c r="A107" s="24"/>
      <c r="B107" s="21"/>
      <c r="C107" s="21"/>
    </row>
    <row r="108">
      <c r="A108" s="24"/>
      <c r="B108" s="21"/>
      <c r="C108" s="21"/>
    </row>
    <row r="109">
      <c r="A109" s="24"/>
      <c r="B109" s="21"/>
      <c r="C109" s="21"/>
    </row>
    <row r="110">
      <c r="A110" s="24"/>
      <c r="B110" s="21"/>
      <c r="C110" s="21"/>
    </row>
    <row r="111">
      <c r="A111" s="24"/>
      <c r="B111" s="21"/>
      <c r="C111" s="21"/>
    </row>
    <row r="112">
      <c r="A112" s="24"/>
      <c r="B112" s="21"/>
      <c r="C112" s="21"/>
    </row>
    <row r="113">
      <c r="A113" s="24"/>
      <c r="B113" s="21"/>
      <c r="C113" s="21"/>
    </row>
    <row r="114">
      <c r="A114" s="24"/>
      <c r="B114" s="21"/>
      <c r="C114" s="21"/>
    </row>
    <row r="115">
      <c r="A115" s="24"/>
      <c r="B115" s="21"/>
      <c r="C115" s="21"/>
    </row>
    <row r="116">
      <c r="A116" s="24"/>
      <c r="B116" s="21"/>
      <c r="C116" s="21"/>
    </row>
    <row r="117">
      <c r="A117" s="24"/>
      <c r="B117" s="21"/>
      <c r="C117" s="21"/>
    </row>
    <row r="118">
      <c r="A118" s="24"/>
      <c r="B118" s="21"/>
      <c r="C118" s="21"/>
    </row>
    <row r="119">
      <c r="A119" s="24"/>
      <c r="B119" s="21"/>
      <c r="C119" s="21"/>
    </row>
    <row r="120">
      <c r="A120" s="24"/>
      <c r="B120" s="21"/>
      <c r="C120" s="21"/>
    </row>
    <row r="121">
      <c r="A121" s="24"/>
      <c r="B121" s="21"/>
      <c r="C121" s="21"/>
    </row>
    <row r="122">
      <c r="A122" s="24"/>
      <c r="B122" s="21"/>
      <c r="C122" s="21"/>
    </row>
    <row r="123">
      <c r="A123" s="24"/>
      <c r="B123" s="21"/>
      <c r="C123" s="21"/>
    </row>
    <row r="124">
      <c r="A124" s="24"/>
      <c r="B124" s="21"/>
      <c r="C124" s="21"/>
    </row>
    <row r="125">
      <c r="A125" s="24"/>
      <c r="B125" s="21"/>
      <c r="C125" s="21"/>
    </row>
    <row r="126">
      <c r="A126" s="24"/>
      <c r="B126" s="21"/>
      <c r="C126" s="21"/>
    </row>
    <row r="127">
      <c r="A127" s="24"/>
      <c r="B127" s="21"/>
      <c r="C127" s="21"/>
    </row>
    <row r="128">
      <c r="A128" s="24"/>
      <c r="B128" s="21"/>
      <c r="C128" s="21"/>
    </row>
    <row r="129">
      <c r="A129" s="24"/>
      <c r="B129" s="21"/>
      <c r="C129" s="21"/>
    </row>
    <row r="130">
      <c r="A130" s="24"/>
      <c r="B130" s="21"/>
      <c r="C130" s="21"/>
    </row>
    <row r="131">
      <c r="A131" s="24"/>
      <c r="B131" s="21"/>
      <c r="C131" s="21"/>
    </row>
    <row r="132">
      <c r="A132" s="24"/>
      <c r="B132" s="21"/>
      <c r="C132" s="21"/>
    </row>
    <row r="133">
      <c r="A133" s="24"/>
      <c r="B133" s="21"/>
      <c r="C133" s="21"/>
    </row>
    <row r="134">
      <c r="A134" s="24"/>
      <c r="B134" s="21"/>
      <c r="C134" s="21"/>
    </row>
    <row r="135">
      <c r="A135" s="24"/>
      <c r="B135" s="21"/>
      <c r="C135" s="21"/>
    </row>
    <row r="136">
      <c r="A136" s="24"/>
      <c r="B136" s="21"/>
      <c r="C136" s="21"/>
    </row>
    <row r="137">
      <c r="A137" s="24"/>
      <c r="B137" s="21"/>
      <c r="C137" s="21"/>
    </row>
    <row r="138">
      <c r="A138" s="24"/>
      <c r="B138" s="21"/>
      <c r="C138" s="21"/>
    </row>
    <row r="139">
      <c r="A139" s="24"/>
      <c r="B139" s="21"/>
      <c r="C139" s="21"/>
    </row>
    <row r="140">
      <c r="A140" s="24"/>
      <c r="B140" s="21"/>
      <c r="C140" s="21"/>
    </row>
    <row r="141">
      <c r="A141" s="24"/>
      <c r="B141" s="21"/>
      <c r="C141" s="21"/>
    </row>
    <row r="142">
      <c r="A142" s="24"/>
      <c r="B142" s="21"/>
      <c r="C142" s="21"/>
    </row>
    <row r="143">
      <c r="A143" s="24"/>
      <c r="B143" s="21"/>
      <c r="C143" s="21"/>
    </row>
    <row r="144">
      <c r="A144" s="24"/>
      <c r="B144" s="21"/>
      <c r="C144" s="21"/>
    </row>
    <row r="145">
      <c r="A145" s="24"/>
      <c r="B145" s="21"/>
      <c r="C145" s="21"/>
    </row>
    <row r="146">
      <c r="A146" s="24"/>
      <c r="B146" s="21"/>
      <c r="C146" s="21"/>
    </row>
    <row r="147">
      <c r="A147" s="24"/>
      <c r="B147" s="21"/>
      <c r="C147" s="21"/>
    </row>
    <row r="148">
      <c r="A148" s="24"/>
      <c r="B148" s="21"/>
      <c r="C148" s="21"/>
    </row>
    <row r="149">
      <c r="A149" s="24"/>
      <c r="B149" s="21"/>
      <c r="C149" s="21"/>
    </row>
    <row r="150">
      <c r="A150" s="24"/>
      <c r="B150" s="21"/>
      <c r="C150" s="21"/>
    </row>
    <row r="151">
      <c r="A151" s="24"/>
      <c r="B151" s="21"/>
      <c r="C151" s="21"/>
    </row>
    <row r="152">
      <c r="A152" s="24"/>
      <c r="B152" s="21"/>
      <c r="C152" s="21"/>
    </row>
    <row r="153">
      <c r="A153" s="24"/>
      <c r="B153" s="21"/>
      <c r="C153" s="21"/>
    </row>
    <row r="154">
      <c r="A154" s="24"/>
      <c r="B154" s="21"/>
      <c r="C154" s="21"/>
    </row>
    <row r="155">
      <c r="A155" s="24"/>
      <c r="B155" s="21"/>
      <c r="C155" s="21"/>
    </row>
    <row r="156">
      <c r="A156" s="24"/>
      <c r="B156" s="21"/>
      <c r="C156" s="21"/>
    </row>
    <row r="157">
      <c r="A157" s="24"/>
      <c r="B157" s="21"/>
      <c r="C157" s="21"/>
    </row>
    <row r="158">
      <c r="A158" s="24"/>
      <c r="B158" s="21"/>
      <c r="C158" s="21"/>
    </row>
    <row r="159">
      <c r="A159" s="24"/>
      <c r="B159" s="21"/>
      <c r="C159" s="21"/>
    </row>
    <row r="160">
      <c r="A160" s="24"/>
      <c r="B160" s="21"/>
      <c r="C160" s="21"/>
    </row>
    <row r="161">
      <c r="A161" s="24"/>
      <c r="B161" s="21"/>
      <c r="C161" s="21"/>
    </row>
    <row r="162">
      <c r="A162" s="24"/>
      <c r="B162" s="21"/>
      <c r="C162" s="21"/>
    </row>
    <row r="163">
      <c r="A163" s="24"/>
      <c r="B163" s="21"/>
      <c r="C163" s="21"/>
    </row>
    <row r="164">
      <c r="A164" s="24"/>
      <c r="B164" s="21"/>
      <c r="C164" s="21"/>
    </row>
    <row r="165">
      <c r="A165" s="24"/>
      <c r="B165" s="21"/>
      <c r="C165" s="21"/>
    </row>
    <row r="166">
      <c r="A166" s="24"/>
      <c r="B166" s="21"/>
      <c r="C166" s="21"/>
    </row>
    <row r="167">
      <c r="A167" s="24"/>
      <c r="B167" s="21"/>
      <c r="C167" s="21"/>
    </row>
    <row r="168">
      <c r="A168" s="24"/>
      <c r="B168" s="21"/>
      <c r="C168" s="21"/>
    </row>
    <row r="169">
      <c r="A169" s="24"/>
      <c r="B169" s="21"/>
      <c r="C169" s="21"/>
    </row>
    <row r="170">
      <c r="A170" s="24"/>
      <c r="B170" s="21"/>
      <c r="C170" s="21"/>
    </row>
    <row r="171">
      <c r="A171" s="24"/>
      <c r="B171" s="21"/>
      <c r="C171" s="21"/>
    </row>
    <row r="172">
      <c r="A172" s="24"/>
      <c r="B172" s="21"/>
      <c r="C172" s="21"/>
    </row>
    <row r="173">
      <c r="A173" s="24"/>
      <c r="B173" s="21"/>
      <c r="C173" s="21"/>
    </row>
    <row r="174">
      <c r="A174" s="24"/>
      <c r="B174" s="21"/>
      <c r="C174" s="21"/>
    </row>
    <row r="175">
      <c r="A175" s="24"/>
      <c r="B175" s="21"/>
      <c r="C175" s="21"/>
    </row>
    <row r="176">
      <c r="A176" s="24"/>
      <c r="B176" s="21"/>
      <c r="C176" s="21"/>
    </row>
    <row r="177">
      <c r="A177" s="24"/>
      <c r="B177" s="21"/>
      <c r="C177" s="21"/>
    </row>
    <row r="178">
      <c r="A178" s="24"/>
      <c r="B178" s="21"/>
      <c r="C178" s="21"/>
    </row>
    <row r="179">
      <c r="A179" s="24"/>
      <c r="B179" s="21"/>
      <c r="C179" s="21"/>
    </row>
    <row r="180">
      <c r="A180" s="24"/>
      <c r="B180" s="21"/>
      <c r="C180" s="21"/>
    </row>
    <row r="181">
      <c r="A181" s="24"/>
      <c r="B181" s="21"/>
      <c r="C181" s="21"/>
    </row>
    <row r="182">
      <c r="A182" s="24"/>
      <c r="B182" s="21"/>
      <c r="C182" s="21"/>
    </row>
    <row r="183">
      <c r="A183" s="24"/>
      <c r="B183" s="21"/>
      <c r="C183" s="21"/>
    </row>
    <row r="184">
      <c r="A184" s="24"/>
      <c r="B184" s="21"/>
      <c r="C184" s="21"/>
    </row>
    <row r="185">
      <c r="A185" s="24"/>
      <c r="B185" s="21"/>
      <c r="C185" s="21"/>
    </row>
    <row r="186">
      <c r="A186" s="24"/>
      <c r="B186" s="21"/>
      <c r="C186" s="21"/>
    </row>
    <row r="187">
      <c r="A187" s="24"/>
      <c r="B187" s="21"/>
      <c r="C187" s="21"/>
    </row>
    <row r="188">
      <c r="A188" s="24"/>
      <c r="B188" s="21"/>
      <c r="C188" s="21"/>
    </row>
    <row r="189">
      <c r="A189" s="24"/>
      <c r="B189" s="21"/>
      <c r="C189" s="21"/>
    </row>
    <row r="190">
      <c r="A190" s="24"/>
      <c r="B190" s="21"/>
      <c r="C190" s="21"/>
    </row>
    <row r="191">
      <c r="A191" s="24"/>
      <c r="B191" s="21"/>
      <c r="C191" s="21"/>
    </row>
    <row r="192">
      <c r="A192" s="24"/>
      <c r="B192" s="21"/>
      <c r="C192" s="21"/>
    </row>
    <row r="193">
      <c r="A193" s="24"/>
      <c r="B193" s="21"/>
      <c r="C193" s="21"/>
    </row>
    <row r="194">
      <c r="A194" s="24"/>
      <c r="B194" s="21"/>
      <c r="C194" s="21"/>
    </row>
    <row r="195">
      <c r="A195" s="24"/>
      <c r="B195" s="21"/>
      <c r="C195" s="21"/>
    </row>
    <row r="196">
      <c r="A196" s="24"/>
      <c r="B196" s="21"/>
      <c r="C196" s="21"/>
    </row>
    <row r="197">
      <c r="A197" s="24"/>
      <c r="B197" s="21"/>
      <c r="C197" s="21"/>
    </row>
    <row r="198">
      <c r="A198" s="24"/>
      <c r="B198" s="21"/>
      <c r="C198" s="21"/>
    </row>
    <row r="199">
      <c r="A199" s="24"/>
      <c r="B199" s="21"/>
      <c r="C199" s="21"/>
    </row>
    <row r="200">
      <c r="A200" s="24"/>
      <c r="B200" s="21"/>
      <c r="C200" s="21"/>
    </row>
    <row r="201">
      <c r="A201" s="24"/>
      <c r="B201" s="21"/>
      <c r="C201" s="21"/>
    </row>
    <row r="202">
      <c r="A202" s="24"/>
      <c r="B202" s="21"/>
      <c r="C202" s="21"/>
    </row>
    <row r="203">
      <c r="A203" s="24"/>
      <c r="B203" s="21"/>
      <c r="C203" s="21"/>
    </row>
    <row r="204">
      <c r="A204" s="24"/>
      <c r="B204" s="21"/>
      <c r="C204" s="21"/>
    </row>
    <row r="205">
      <c r="A205" s="24"/>
      <c r="B205" s="21"/>
      <c r="C205" s="21"/>
    </row>
    <row r="206">
      <c r="A206" s="24"/>
      <c r="B206" s="21"/>
      <c r="C206" s="21"/>
    </row>
    <row r="207">
      <c r="A207" s="24"/>
      <c r="B207" s="21"/>
      <c r="C207" s="21"/>
    </row>
    <row r="208">
      <c r="A208" s="24"/>
      <c r="B208" s="21"/>
      <c r="C208" s="21"/>
    </row>
    <row r="209">
      <c r="A209" s="24"/>
      <c r="B209" s="21"/>
      <c r="C209" s="21"/>
    </row>
    <row r="210">
      <c r="A210" s="24"/>
      <c r="B210" s="21"/>
      <c r="C210" s="21"/>
    </row>
    <row r="211">
      <c r="A211" s="24"/>
      <c r="B211" s="21"/>
      <c r="C211" s="21"/>
    </row>
    <row r="212">
      <c r="A212" s="24"/>
      <c r="B212" s="21"/>
      <c r="C212" s="21"/>
    </row>
    <row r="213">
      <c r="A213" s="24"/>
      <c r="B213" s="21"/>
      <c r="C213" s="21"/>
    </row>
    <row r="214">
      <c r="A214" s="24"/>
      <c r="B214" s="21"/>
      <c r="C214" s="21"/>
    </row>
    <row r="215">
      <c r="A215" s="24"/>
      <c r="B215" s="21"/>
      <c r="C215" s="21"/>
    </row>
    <row r="216">
      <c r="A216" s="24"/>
      <c r="B216" s="21"/>
      <c r="C216" s="21"/>
    </row>
    <row r="217">
      <c r="A217" s="24"/>
      <c r="B217" s="21"/>
      <c r="C217" s="21"/>
    </row>
    <row r="218">
      <c r="A218" s="24"/>
      <c r="B218" s="21"/>
      <c r="C218" s="21"/>
    </row>
    <row r="219">
      <c r="A219" s="24"/>
      <c r="B219" s="21"/>
      <c r="C219" s="21"/>
    </row>
    <row r="220">
      <c r="A220" s="24"/>
      <c r="B220" s="21"/>
      <c r="C220" s="21"/>
    </row>
    <row r="221">
      <c r="A221" s="24"/>
      <c r="B221" s="21"/>
      <c r="C221" s="21"/>
    </row>
    <row r="222">
      <c r="A222" s="24"/>
      <c r="B222" s="21"/>
      <c r="C222" s="21"/>
    </row>
    <row r="223">
      <c r="A223" s="24"/>
      <c r="B223" s="21"/>
      <c r="C223" s="21"/>
    </row>
    <row r="224">
      <c r="A224" s="24"/>
      <c r="B224" s="21"/>
      <c r="C224" s="21"/>
    </row>
    <row r="225">
      <c r="A225" s="24"/>
      <c r="B225" s="21"/>
      <c r="C225" s="21"/>
    </row>
    <row r="226">
      <c r="A226" s="24"/>
      <c r="B226" s="21"/>
      <c r="C226" s="21"/>
    </row>
    <row r="227">
      <c r="A227" s="24"/>
      <c r="B227" s="21"/>
      <c r="C227" s="21"/>
    </row>
    <row r="228">
      <c r="A228" s="24"/>
      <c r="B228" s="21"/>
      <c r="C228" s="21"/>
    </row>
    <row r="229">
      <c r="A229" s="24"/>
      <c r="B229" s="21"/>
      <c r="C229" s="21"/>
    </row>
    <row r="230">
      <c r="A230" s="24"/>
      <c r="B230" s="21"/>
      <c r="C230" s="21"/>
    </row>
    <row r="231">
      <c r="A231" s="24"/>
      <c r="B231" s="21"/>
      <c r="C231" s="21"/>
    </row>
    <row r="232">
      <c r="A232" s="24"/>
      <c r="B232" s="21"/>
      <c r="C232" s="21"/>
    </row>
    <row r="233">
      <c r="A233" s="24"/>
      <c r="B233" s="21"/>
      <c r="C233" s="21"/>
    </row>
    <row r="234">
      <c r="A234" s="24"/>
      <c r="B234" s="21"/>
      <c r="C234" s="21"/>
    </row>
    <row r="235">
      <c r="A235" s="24"/>
      <c r="B235" s="21"/>
      <c r="C235" s="21"/>
    </row>
    <row r="236">
      <c r="A236" s="24"/>
      <c r="B236" s="21"/>
      <c r="C236" s="21"/>
    </row>
    <row r="237">
      <c r="A237" s="24"/>
      <c r="B237" s="21"/>
      <c r="C237" s="21"/>
    </row>
    <row r="238">
      <c r="A238" s="24"/>
      <c r="B238" s="21"/>
      <c r="C238" s="21"/>
    </row>
    <row r="239">
      <c r="A239" s="24"/>
      <c r="B239" s="21"/>
      <c r="C239" s="21"/>
    </row>
    <row r="240">
      <c r="A240" s="24"/>
      <c r="B240" s="21"/>
      <c r="C240" s="21"/>
    </row>
    <row r="241">
      <c r="A241" s="24"/>
      <c r="B241" s="21"/>
      <c r="C241" s="21"/>
    </row>
    <row r="242">
      <c r="A242" s="24"/>
      <c r="B242" s="21"/>
      <c r="C242" s="21"/>
    </row>
    <row r="243">
      <c r="A243" s="24"/>
      <c r="B243" s="21"/>
      <c r="C243" s="21"/>
    </row>
    <row r="244">
      <c r="A244" s="24"/>
      <c r="B244" s="21"/>
      <c r="C244" s="21"/>
    </row>
    <row r="245">
      <c r="A245" s="24"/>
      <c r="B245" s="21"/>
      <c r="C245" s="21"/>
    </row>
    <row r="246">
      <c r="A246" s="24"/>
      <c r="B246" s="21"/>
      <c r="C246" s="21"/>
    </row>
    <row r="247">
      <c r="A247" s="24"/>
      <c r="B247" s="21"/>
      <c r="C247" s="21"/>
    </row>
    <row r="248">
      <c r="A248" s="24"/>
      <c r="B248" s="21"/>
      <c r="C248" s="21"/>
    </row>
    <row r="249">
      <c r="A249" s="24"/>
      <c r="B249" s="21"/>
      <c r="C249" s="21"/>
    </row>
    <row r="250">
      <c r="A250" s="24"/>
      <c r="B250" s="21"/>
      <c r="C250" s="21"/>
    </row>
    <row r="251">
      <c r="A251" s="24"/>
      <c r="B251" s="21"/>
      <c r="C251" s="21"/>
    </row>
    <row r="252">
      <c r="A252" s="24"/>
      <c r="B252" s="21"/>
      <c r="C252" s="21"/>
    </row>
    <row r="253">
      <c r="A253" s="24"/>
      <c r="B253" s="21"/>
      <c r="C253" s="21"/>
    </row>
    <row r="254">
      <c r="A254" s="24"/>
      <c r="B254" s="21"/>
      <c r="C254" s="21"/>
    </row>
    <row r="255">
      <c r="A255" s="24"/>
      <c r="B255" s="21"/>
      <c r="C255" s="21"/>
    </row>
    <row r="256">
      <c r="A256" s="24"/>
      <c r="B256" s="21"/>
      <c r="C256" s="21"/>
    </row>
    <row r="257">
      <c r="A257" s="24"/>
      <c r="B257" s="21"/>
      <c r="C257" s="21"/>
    </row>
    <row r="258">
      <c r="A258" s="24"/>
      <c r="B258" s="21"/>
      <c r="C258" s="21"/>
    </row>
    <row r="259">
      <c r="A259" s="24"/>
      <c r="B259" s="21"/>
      <c r="C259" s="21"/>
    </row>
    <row r="260">
      <c r="A260" s="24"/>
      <c r="B260" s="21"/>
      <c r="C260" s="21"/>
    </row>
    <row r="261">
      <c r="A261" s="24"/>
      <c r="B261" s="21"/>
      <c r="C261" s="21"/>
    </row>
    <row r="262">
      <c r="A262" s="24"/>
      <c r="B262" s="21"/>
      <c r="C262" s="21"/>
    </row>
    <row r="263">
      <c r="A263" s="24"/>
      <c r="B263" s="21"/>
      <c r="C263" s="21"/>
    </row>
    <row r="264">
      <c r="A264" s="24"/>
      <c r="B264" s="21"/>
      <c r="C264" s="21"/>
    </row>
    <row r="265">
      <c r="A265" s="24"/>
      <c r="B265" s="21"/>
      <c r="C265" s="21"/>
    </row>
    <row r="266">
      <c r="A266" s="24"/>
      <c r="B266" s="21"/>
      <c r="C266" s="21"/>
    </row>
    <row r="267">
      <c r="A267" s="24"/>
      <c r="B267" s="21"/>
      <c r="C267" s="21"/>
    </row>
    <row r="268">
      <c r="A268" s="24"/>
      <c r="B268" s="21"/>
      <c r="C268" s="21"/>
    </row>
    <row r="269">
      <c r="A269" s="24"/>
      <c r="B269" s="21"/>
      <c r="C269" s="21"/>
    </row>
    <row r="270">
      <c r="A270" s="24"/>
      <c r="B270" s="21"/>
      <c r="C270" s="21"/>
    </row>
    <row r="271">
      <c r="A271" s="24"/>
      <c r="B271" s="21"/>
      <c r="C271" s="21"/>
    </row>
    <row r="272">
      <c r="A272" s="24"/>
      <c r="B272" s="21"/>
      <c r="C272" s="21"/>
    </row>
    <row r="273">
      <c r="A273" s="24"/>
      <c r="B273" s="21"/>
      <c r="C273" s="21"/>
    </row>
    <row r="274">
      <c r="A274" s="24"/>
      <c r="B274" s="21"/>
      <c r="C274" s="21"/>
    </row>
    <row r="275">
      <c r="A275" s="24"/>
      <c r="B275" s="21"/>
      <c r="C275" s="21"/>
    </row>
    <row r="276">
      <c r="A276" s="24"/>
      <c r="B276" s="21"/>
      <c r="C276" s="21"/>
    </row>
    <row r="277">
      <c r="A277" s="24"/>
      <c r="B277" s="21"/>
      <c r="C277" s="21"/>
    </row>
    <row r="278">
      <c r="A278" s="24"/>
      <c r="B278" s="21"/>
      <c r="C278" s="21"/>
    </row>
    <row r="279">
      <c r="A279" s="24"/>
      <c r="B279" s="21"/>
      <c r="C279" s="21"/>
    </row>
    <row r="280">
      <c r="A280" s="24"/>
      <c r="B280" s="21"/>
      <c r="C280" s="21"/>
    </row>
    <row r="281">
      <c r="A281" s="24"/>
      <c r="B281" s="21"/>
      <c r="C281" s="21"/>
    </row>
    <row r="282">
      <c r="A282" s="24"/>
      <c r="B282" s="21"/>
      <c r="C282" s="21"/>
    </row>
    <row r="283">
      <c r="A283" s="24"/>
      <c r="B283" s="21"/>
      <c r="C283" s="21"/>
    </row>
    <row r="284">
      <c r="A284" s="24"/>
      <c r="B284" s="21"/>
      <c r="C284" s="21"/>
    </row>
    <row r="285">
      <c r="A285" s="24"/>
      <c r="B285" s="21"/>
      <c r="C285" s="21"/>
    </row>
    <row r="286">
      <c r="A286" s="24"/>
      <c r="B286" s="21"/>
      <c r="C286" s="21"/>
    </row>
    <row r="287">
      <c r="A287" s="24"/>
      <c r="B287" s="21"/>
      <c r="C287" s="21"/>
    </row>
    <row r="288">
      <c r="A288" s="24"/>
      <c r="B288" s="21"/>
      <c r="C288" s="21"/>
    </row>
    <row r="289">
      <c r="A289" s="24"/>
      <c r="B289" s="21"/>
      <c r="C289" s="21"/>
    </row>
    <row r="290">
      <c r="A290" s="24"/>
      <c r="B290" s="21"/>
      <c r="C290" s="21"/>
    </row>
    <row r="291">
      <c r="A291" s="24"/>
      <c r="B291" s="21"/>
      <c r="C291" s="21"/>
    </row>
    <row r="292">
      <c r="A292" s="24"/>
      <c r="B292" s="21"/>
      <c r="C292" s="21"/>
    </row>
    <row r="293">
      <c r="A293" s="24"/>
      <c r="B293" s="21"/>
      <c r="C293" s="21"/>
    </row>
    <row r="294">
      <c r="A294" s="24"/>
      <c r="B294" s="21"/>
      <c r="C294" s="21"/>
    </row>
    <row r="295">
      <c r="A295" s="24"/>
      <c r="B295" s="21"/>
      <c r="C295" s="21"/>
    </row>
    <row r="296">
      <c r="A296" s="24"/>
      <c r="B296" s="21"/>
      <c r="C296" s="21"/>
    </row>
    <row r="297">
      <c r="A297" s="24"/>
      <c r="B297" s="21"/>
      <c r="C297" s="21"/>
    </row>
    <row r="298">
      <c r="A298" s="24"/>
      <c r="B298" s="21"/>
      <c r="C298" s="21"/>
    </row>
    <row r="299">
      <c r="A299" s="24"/>
      <c r="B299" s="21"/>
      <c r="C299" s="21"/>
    </row>
    <row r="300">
      <c r="A300" s="24"/>
      <c r="B300" s="21"/>
      <c r="C300" s="21"/>
    </row>
    <row r="301">
      <c r="A301" s="24"/>
      <c r="B301" s="21"/>
      <c r="C301" s="21"/>
    </row>
    <row r="302">
      <c r="A302" s="24"/>
      <c r="B302" s="21"/>
      <c r="C302" s="21"/>
    </row>
    <row r="303">
      <c r="A303" s="24"/>
      <c r="B303" s="21"/>
      <c r="C303" s="21"/>
    </row>
    <row r="304">
      <c r="A304" s="24"/>
      <c r="B304" s="21"/>
      <c r="C304" s="21"/>
    </row>
    <row r="305">
      <c r="A305" s="24"/>
      <c r="B305" s="21"/>
      <c r="C305" s="21"/>
    </row>
    <row r="306">
      <c r="A306" s="24"/>
      <c r="B306" s="21"/>
      <c r="C306" s="21"/>
    </row>
    <row r="307">
      <c r="A307" s="24"/>
      <c r="B307" s="21"/>
      <c r="C307" s="21"/>
    </row>
    <row r="308">
      <c r="A308" s="24"/>
      <c r="B308" s="21"/>
      <c r="C308" s="21"/>
    </row>
    <row r="309">
      <c r="A309" s="24"/>
      <c r="B309" s="21"/>
      <c r="C309" s="21"/>
    </row>
    <row r="310">
      <c r="A310" s="24"/>
      <c r="B310" s="21"/>
      <c r="C310" s="21"/>
    </row>
    <row r="311">
      <c r="A311" s="24"/>
      <c r="B311" s="21"/>
      <c r="C311" s="21"/>
    </row>
    <row r="312">
      <c r="A312" s="24"/>
      <c r="B312" s="21"/>
      <c r="C312" s="21"/>
    </row>
    <row r="313">
      <c r="A313" s="24"/>
      <c r="B313" s="21"/>
      <c r="C313" s="21"/>
    </row>
    <row r="314">
      <c r="A314" s="24"/>
      <c r="B314" s="21"/>
      <c r="C314" s="21"/>
    </row>
    <row r="315">
      <c r="A315" s="24"/>
      <c r="B315" s="21"/>
      <c r="C315" s="21"/>
    </row>
    <row r="316">
      <c r="A316" s="24"/>
      <c r="B316" s="21"/>
      <c r="C316" s="21"/>
    </row>
    <row r="317">
      <c r="A317" s="24"/>
      <c r="B317" s="21"/>
      <c r="C317" s="21"/>
    </row>
    <row r="318">
      <c r="A318" s="24"/>
      <c r="B318" s="21"/>
      <c r="C318" s="21"/>
    </row>
    <row r="319">
      <c r="A319" s="24"/>
      <c r="B319" s="21"/>
      <c r="C319" s="21"/>
    </row>
    <row r="320">
      <c r="A320" s="24"/>
      <c r="B320" s="21"/>
      <c r="C320" s="21"/>
    </row>
    <row r="321">
      <c r="A321" s="24"/>
      <c r="B321" s="21"/>
      <c r="C321" s="21"/>
    </row>
    <row r="322">
      <c r="A322" s="24"/>
      <c r="B322" s="21"/>
      <c r="C322" s="21"/>
    </row>
    <row r="323">
      <c r="A323" s="24"/>
      <c r="B323" s="21"/>
      <c r="C323" s="21"/>
    </row>
    <row r="324">
      <c r="A324" s="24"/>
      <c r="B324" s="21"/>
      <c r="C324" s="21"/>
    </row>
    <row r="325">
      <c r="A325" s="24"/>
      <c r="B325" s="21"/>
      <c r="C325" s="21"/>
    </row>
    <row r="326">
      <c r="A326" s="24"/>
      <c r="B326" s="21"/>
      <c r="C326" s="21"/>
    </row>
    <row r="327">
      <c r="A327" s="24"/>
      <c r="B327" s="21"/>
      <c r="C327" s="21"/>
    </row>
    <row r="328">
      <c r="A328" s="24"/>
      <c r="B328" s="21"/>
      <c r="C328" s="21"/>
    </row>
    <row r="329">
      <c r="A329" s="24"/>
      <c r="B329" s="21"/>
      <c r="C329" s="21"/>
    </row>
    <row r="330">
      <c r="A330" s="24"/>
      <c r="B330" s="21"/>
      <c r="C330" s="21"/>
    </row>
    <row r="331">
      <c r="A331" s="24"/>
      <c r="B331" s="21"/>
      <c r="C331" s="21"/>
    </row>
    <row r="332">
      <c r="A332" s="24"/>
      <c r="B332" s="21"/>
      <c r="C332" s="21"/>
    </row>
    <row r="333">
      <c r="A333" s="24"/>
      <c r="B333" s="21"/>
      <c r="C333" s="21"/>
    </row>
    <row r="334">
      <c r="A334" s="24"/>
      <c r="B334" s="21"/>
      <c r="C334" s="21"/>
    </row>
    <row r="335">
      <c r="A335" s="24"/>
      <c r="B335" s="21"/>
      <c r="C335" s="21"/>
    </row>
    <row r="336">
      <c r="A336" s="24"/>
      <c r="B336" s="21"/>
      <c r="C336" s="21"/>
    </row>
    <row r="337">
      <c r="A337" s="24"/>
      <c r="B337" s="21"/>
      <c r="C337" s="21"/>
    </row>
    <row r="338">
      <c r="A338" s="24"/>
      <c r="B338" s="21"/>
      <c r="C338" s="21"/>
    </row>
    <row r="339">
      <c r="A339" s="24"/>
      <c r="B339" s="21"/>
      <c r="C339" s="21"/>
    </row>
    <row r="340">
      <c r="A340" s="24"/>
      <c r="B340" s="21"/>
      <c r="C340" s="21"/>
    </row>
    <row r="341">
      <c r="A341" s="24"/>
      <c r="B341" s="21"/>
      <c r="C341" s="21"/>
    </row>
    <row r="342">
      <c r="A342" s="24"/>
      <c r="B342" s="21"/>
      <c r="C342" s="21"/>
    </row>
    <row r="343">
      <c r="A343" s="24"/>
      <c r="B343" s="21"/>
      <c r="C343" s="21"/>
    </row>
    <row r="344">
      <c r="A344" s="24"/>
      <c r="B344" s="21"/>
      <c r="C344" s="21"/>
    </row>
    <row r="345">
      <c r="A345" s="24"/>
      <c r="B345" s="21"/>
      <c r="C345" s="21"/>
    </row>
    <row r="346">
      <c r="A346" s="24"/>
      <c r="B346" s="21"/>
      <c r="C346" s="21"/>
    </row>
    <row r="347">
      <c r="A347" s="24"/>
      <c r="B347" s="21"/>
      <c r="C347" s="21"/>
    </row>
    <row r="348">
      <c r="A348" s="24"/>
      <c r="B348" s="21"/>
      <c r="C348" s="21"/>
    </row>
    <row r="349">
      <c r="A349" s="24"/>
      <c r="B349" s="21"/>
      <c r="C349" s="21"/>
    </row>
    <row r="350">
      <c r="A350" s="24"/>
      <c r="B350" s="21"/>
      <c r="C350" s="21"/>
    </row>
    <row r="351">
      <c r="A351" s="24"/>
      <c r="B351" s="21"/>
      <c r="C351" s="21"/>
    </row>
    <row r="352">
      <c r="A352" s="24"/>
      <c r="B352" s="21"/>
      <c r="C352" s="21"/>
    </row>
    <row r="353">
      <c r="A353" s="24"/>
      <c r="B353" s="21"/>
      <c r="C353" s="21"/>
    </row>
    <row r="354">
      <c r="A354" s="24"/>
      <c r="B354" s="21"/>
      <c r="C354" s="21"/>
    </row>
    <row r="355">
      <c r="A355" s="24"/>
      <c r="B355" s="21"/>
      <c r="C355" s="21"/>
    </row>
    <row r="356">
      <c r="A356" s="24"/>
      <c r="B356" s="21"/>
      <c r="C356" s="21"/>
    </row>
    <row r="357">
      <c r="A357" s="24"/>
      <c r="B357" s="21"/>
      <c r="C357" s="21"/>
    </row>
    <row r="358">
      <c r="A358" s="24"/>
      <c r="B358" s="21"/>
      <c r="C358" s="21"/>
    </row>
    <row r="359">
      <c r="A359" s="24"/>
      <c r="B359" s="21"/>
      <c r="C359" s="21"/>
    </row>
    <row r="360">
      <c r="A360" s="24"/>
      <c r="B360" s="21"/>
      <c r="C360" s="21"/>
    </row>
    <row r="361">
      <c r="A361" s="24"/>
      <c r="B361" s="21"/>
      <c r="C361" s="21"/>
    </row>
    <row r="362">
      <c r="A362" s="24"/>
      <c r="B362" s="21"/>
      <c r="C362" s="21"/>
    </row>
    <row r="363">
      <c r="A363" s="24"/>
      <c r="B363" s="21"/>
      <c r="C363" s="21"/>
    </row>
    <row r="364">
      <c r="A364" s="24"/>
      <c r="B364" s="21"/>
      <c r="C364" s="21"/>
    </row>
    <row r="365">
      <c r="A365" s="24"/>
      <c r="B365" s="21"/>
      <c r="C365" s="21"/>
    </row>
    <row r="366">
      <c r="A366" s="24"/>
      <c r="B366" s="21"/>
      <c r="C366" s="21"/>
    </row>
    <row r="367">
      <c r="A367" s="24"/>
      <c r="B367" s="21"/>
      <c r="C367" s="21"/>
    </row>
    <row r="368">
      <c r="A368" s="24"/>
      <c r="B368" s="21"/>
      <c r="C368" s="21"/>
    </row>
    <row r="369">
      <c r="A369" s="24"/>
      <c r="B369" s="21"/>
      <c r="C369" s="21"/>
    </row>
    <row r="370">
      <c r="A370" s="24"/>
      <c r="B370" s="21"/>
      <c r="C370" s="21"/>
    </row>
    <row r="371">
      <c r="A371" s="24"/>
      <c r="B371" s="21"/>
      <c r="C371" s="21"/>
    </row>
    <row r="372">
      <c r="A372" s="24"/>
      <c r="B372" s="21"/>
      <c r="C372" s="21"/>
    </row>
    <row r="373">
      <c r="A373" s="24"/>
      <c r="B373" s="21"/>
      <c r="C373" s="21"/>
    </row>
    <row r="374">
      <c r="A374" s="24"/>
      <c r="B374" s="21"/>
      <c r="C374" s="21"/>
    </row>
    <row r="375">
      <c r="A375" s="24"/>
      <c r="B375" s="21"/>
      <c r="C375" s="21"/>
    </row>
    <row r="376">
      <c r="A376" s="24"/>
      <c r="B376" s="21"/>
      <c r="C376" s="21"/>
    </row>
    <row r="377">
      <c r="A377" s="24"/>
      <c r="B377" s="21"/>
      <c r="C377" s="21"/>
    </row>
    <row r="378">
      <c r="A378" s="24"/>
      <c r="B378" s="21"/>
      <c r="C378" s="21"/>
    </row>
    <row r="379">
      <c r="A379" s="24"/>
      <c r="B379" s="21"/>
      <c r="C379" s="21"/>
    </row>
    <row r="380">
      <c r="A380" s="24"/>
      <c r="B380" s="21"/>
      <c r="C380" s="21"/>
    </row>
    <row r="381">
      <c r="A381" s="24"/>
      <c r="B381" s="21"/>
      <c r="C381" s="21"/>
    </row>
    <row r="382">
      <c r="A382" s="24"/>
      <c r="B382" s="21"/>
      <c r="C382" s="21"/>
    </row>
    <row r="383">
      <c r="A383" s="24"/>
      <c r="B383" s="21"/>
      <c r="C383" s="21"/>
    </row>
    <row r="384">
      <c r="A384" s="24"/>
      <c r="B384" s="21"/>
      <c r="C384" s="21"/>
    </row>
    <row r="385">
      <c r="A385" s="24"/>
      <c r="B385" s="21"/>
      <c r="C385" s="21"/>
    </row>
    <row r="386">
      <c r="A386" s="24"/>
      <c r="B386" s="21"/>
      <c r="C386" s="21"/>
    </row>
    <row r="387">
      <c r="A387" s="24"/>
      <c r="B387" s="21"/>
      <c r="C387" s="21"/>
    </row>
    <row r="388">
      <c r="A388" s="24"/>
      <c r="B388" s="21"/>
      <c r="C388" s="21"/>
    </row>
    <row r="389">
      <c r="A389" s="24"/>
      <c r="B389" s="21"/>
      <c r="C389" s="21"/>
    </row>
    <row r="390">
      <c r="A390" s="24"/>
      <c r="B390" s="21"/>
      <c r="C390" s="21"/>
    </row>
    <row r="391">
      <c r="A391" s="24"/>
      <c r="B391" s="21"/>
      <c r="C391" s="21"/>
    </row>
    <row r="392">
      <c r="A392" s="24"/>
      <c r="B392" s="21"/>
      <c r="C392" s="21"/>
    </row>
    <row r="393">
      <c r="A393" s="24"/>
      <c r="B393" s="21"/>
      <c r="C393" s="21"/>
    </row>
    <row r="394">
      <c r="A394" s="24"/>
      <c r="B394" s="21"/>
      <c r="C394" s="21"/>
    </row>
    <row r="395">
      <c r="A395" s="24"/>
      <c r="B395" s="21"/>
      <c r="C395" s="21"/>
    </row>
    <row r="396">
      <c r="A396" s="24"/>
      <c r="B396" s="21"/>
      <c r="C396" s="21"/>
    </row>
    <row r="397">
      <c r="A397" s="24"/>
      <c r="B397" s="21"/>
      <c r="C397" s="21"/>
    </row>
    <row r="398">
      <c r="A398" s="24"/>
      <c r="B398" s="21"/>
      <c r="C398" s="21"/>
    </row>
    <row r="399">
      <c r="A399" s="24"/>
      <c r="B399" s="21"/>
      <c r="C399" s="21"/>
    </row>
    <row r="400">
      <c r="A400" s="24"/>
      <c r="B400" s="21"/>
      <c r="C400" s="21"/>
    </row>
    <row r="401">
      <c r="A401" s="24"/>
      <c r="B401" s="21"/>
      <c r="C401" s="21"/>
    </row>
    <row r="402">
      <c r="A402" s="24"/>
      <c r="B402" s="21"/>
      <c r="C402" s="21"/>
    </row>
    <row r="403">
      <c r="A403" s="24"/>
      <c r="B403" s="21"/>
      <c r="C403" s="21"/>
    </row>
    <row r="404">
      <c r="A404" s="24"/>
      <c r="B404" s="21"/>
      <c r="C404" s="21"/>
    </row>
    <row r="405">
      <c r="A405" s="24"/>
      <c r="B405" s="21"/>
      <c r="C405" s="21"/>
    </row>
    <row r="406">
      <c r="A406" s="24"/>
      <c r="B406" s="21"/>
      <c r="C406" s="21"/>
    </row>
    <row r="407">
      <c r="A407" s="24"/>
      <c r="B407" s="21"/>
      <c r="C407" s="21"/>
    </row>
    <row r="408">
      <c r="A408" s="24"/>
      <c r="B408" s="21"/>
      <c r="C408" s="21"/>
    </row>
    <row r="409">
      <c r="A409" s="24"/>
      <c r="B409" s="21"/>
      <c r="C409" s="21"/>
    </row>
    <row r="410">
      <c r="A410" s="24"/>
      <c r="B410" s="21"/>
      <c r="C410" s="21"/>
    </row>
    <row r="411">
      <c r="A411" s="24"/>
      <c r="B411" s="21"/>
      <c r="C411" s="21"/>
    </row>
    <row r="412">
      <c r="A412" s="24"/>
      <c r="B412" s="21"/>
      <c r="C412" s="21"/>
    </row>
    <row r="413">
      <c r="A413" s="24"/>
      <c r="B413" s="21"/>
      <c r="C413" s="21"/>
    </row>
    <row r="414">
      <c r="A414" s="24"/>
      <c r="B414" s="21"/>
      <c r="C414" s="21"/>
    </row>
    <row r="415">
      <c r="A415" s="24"/>
      <c r="B415" s="21"/>
      <c r="C415" s="21"/>
    </row>
    <row r="416">
      <c r="A416" s="24"/>
      <c r="B416" s="21"/>
      <c r="C416" s="21"/>
    </row>
    <row r="417">
      <c r="A417" s="24"/>
      <c r="B417" s="21"/>
      <c r="C417" s="21"/>
    </row>
    <row r="418">
      <c r="A418" s="24"/>
      <c r="B418" s="21"/>
      <c r="C418" s="21"/>
    </row>
    <row r="419">
      <c r="A419" s="24"/>
      <c r="B419" s="21"/>
      <c r="C419" s="21"/>
    </row>
    <row r="420">
      <c r="A420" s="24"/>
      <c r="B420" s="21"/>
      <c r="C420" s="21"/>
    </row>
    <row r="421">
      <c r="A421" s="24"/>
      <c r="B421" s="21"/>
      <c r="C421" s="21"/>
    </row>
    <row r="422">
      <c r="A422" s="24"/>
      <c r="B422" s="21"/>
      <c r="C422" s="21"/>
    </row>
    <row r="423">
      <c r="A423" s="24"/>
      <c r="B423" s="21"/>
      <c r="C423" s="21"/>
    </row>
    <row r="424">
      <c r="A424" s="24"/>
      <c r="B424" s="21"/>
      <c r="C424" s="21"/>
    </row>
    <row r="425">
      <c r="A425" s="24"/>
      <c r="B425" s="21"/>
      <c r="C425" s="21"/>
    </row>
    <row r="426">
      <c r="A426" s="24"/>
      <c r="B426" s="21"/>
      <c r="C426" s="21"/>
    </row>
    <row r="427">
      <c r="A427" s="24"/>
      <c r="B427" s="21"/>
      <c r="C427" s="21"/>
    </row>
    <row r="428">
      <c r="A428" s="24"/>
      <c r="B428" s="21"/>
      <c r="C428" s="21"/>
    </row>
    <row r="429">
      <c r="A429" s="24"/>
      <c r="B429" s="21"/>
      <c r="C429" s="21"/>
    </row>
    <row r="430">
      <c r="A430" s="24"/>
      <c r="B430" s="21"/>
      <c r="C430" s="21"/>
    </row>
    <row r="431">
      <c r="A431" s="24"/>
      <c r="B431" s="21"/>
      <c r="C431" s="21"/>
    </row>
    <row r="432">
      <c r="A432" s="24"/>
      <c r="B432" s="21"/>
      <c r="C432" s="21"/>
    </row>
    <row r="433">
      <c r="A433" s="24"/>
      <c r="B433" s="21"/>
      <c r="C433" s="21"/>
    </row>
    <row r="434">
      <c r="A434" s="24"/>
      <c r="B434" s="21"/>
      <c r="C434" s="21"/>
    </row>
    <row r="435">
      <c r="A435" s="24"/>
      <c r="B435" s="21"/>
      <c r="C435" s="21"/>
    </row>
    <row r="436">
      <c r="A436" s="24"/>
      <c r="B436" s="21"/>
      <c r="C436" s="21"/>
    </row>
    <row r="437">
      <c r="A437" s="24"/>
      <c r="B437" s="21"/>
      <c r="C437" s="21"/>
    </row>
    <row r="438">
      <c r="A438" s="24"/>
      <c r="B438" s="21"/>
      <c r="C438" s="21"/>
    </row>
    <row r="439">
      <c r="A439" s="24"/>
      <c r="B439" s="21"/>
      <c r="C439" s="21"/>
    </row>
    <row r="440">
      <c r="A440" s="24"/>
      <c r="B440" s="21"/>
      <c r="C440" s="21"/>
    </row>
    <row r="441">
      <c r="A441" s="24"/>
      <c r="B441" s="21"/>
      <c r="C441" s="21"/>
    </row>
    <row r="442">
      <c r="A442" s="24"/>
      <c r="B442" s="21"/>
      <c r="C442" s="21"/>
    </row>
    <row r="443">
      <c r="A443" s="24"/>
      <c r="B443" s="21"/>
      <c r="C443" s="21"/>
    </row>
    <row r="444">
      <c r="A444" s="24"/>
      <c r="B444" s="21"/>
      <c r="C444" s="21"/>
    </row>
    <row r="445">
      <c r="A445" s="24"/>
      <c r="B445" s="21"/>
      <c r="C445" s="21"/>
    </row>
    <row r="446">
      <c r="A446" s="24"/>
      <c r="B446" s="21"/>
      <c r="C446" s="21"/>
    </row>
    <row r="447">
      <c r="A447" s="24"/>
      <c r="B447" s="21"/>
      <c r="C447" s="21"/>
    </row>
    <row r="448">
      <c r="A448" s="24"/>
      <c r="B448" s="21"/>
      <c r="C448" s="21"/>
    </row>
    <row r="449">
      <c r="A449" s="24"/>
      <c r="B449" s="21"/>
      <c r="C449" s="21"/>
    </row>
    <row r="450">
      <c r="A450" s="24"/>
      <c r="B450" s="21"/>
      <c r="C450" s="21"/>
    </row>
    <row r="451">
      <c r="A451" s="24"/>
      <c r="B451" s="21"/>
      <c r="C451" s="21"/>
    </row>
    <row r="452">
      <c r="A452" s="24"/>
      <c r="B452" s="21"/>
      <c r="C452" s="21"/>
    </row>
    <row r="453">
      <c r="A453" s="24"/>
      <c r="B453" s="21"/>
      <c r="C453" s="21"/>
    </row>
    <row r="454">
      <c r="A454" s="24"/>
      <c r="B454" s="21"/>
      <c r="C454" s="21"/>
    </row>
    <row r="455">
      <c r="A455" s="24"/>
      <c r="B455" s="21"/>
      <c r="C455" s="21"/>
    </row>
    <row r="456">
      <c r="A456" s="24"/>
      <c r="B456" s="21"/>
      <c r="C456" s="21"/>
    </row>
    <row r="457">
      <c r="A457" s="24"/>
      <c r="B457" s="21"/>
      <c r="C457" s="21"/>
    </row>
    <row r="458">
      <c r="A458" s="24"/>
      <c r="B458" s="21"/>
      <c r="C458" s="21"/>
    </row>
    <row r="459">
      <c r="A459" s="24"/>
      <c r="B459" s="21"/>
      <c r="C459" s="21"/>
    </row>
    <row r="460">
      <c r="A460" s="24"/>
      <c r="B460" s="21"/>
      <c r="C460" s="21"/>
    </row>
    <row r="461">
      <c r="A461" s="24"/>
      <c r="B461" s="21"/>
      <c r="C461" s="21"/>
    </row>
    <row r="462">
      <c r="A462" s="24"/>
      <c r="B462" s="21"/>
      <c r="C462" s="21"/>
    </row>
    <row r="463">
      <c r="A463" s="24"/>
      <c r="B463" s="21"/>
      <c r="C463" s="21"/>
    </row>
    <row r="464">
      <c r="A464" s="24"/>
      <c r="B464" s="21"/>
      <c r="C464" s="21"/>
    </row>
    <row r="465">
      <c r="A465" s="24"/>
      <c r="B465" s="21"/>
      <c r="C465" s="21"/>
    </row>
    <row r="466">
      <c r="A466" s="24"/>
      <c r="B466" s="21"/>
      <c r="C466" s="21"/>
    </row>
    <row r="467">
      <c r="A467" s="24"/>
      <c r="B467" s="21"/>
      <c r="C467" s="21"/>
    </row>
    <row r="468">
      <c r="A468" s="24"/>
      <c r="B468" s="21"/>
      <c r="C468" s="21"/>
    </row>
    <row r="469">
      <c r="A469" s="24"/>
      <c r="B469" s="21"/>
      <c r="C469" s="21"/>
    </row>
    <row r="470">
      <c r="A470" s="24"/>
      <c r="B470" s="21"/>
      <c r="C470" s="21"/>
    </row>
    <row r="471">
      <c r="A471" s="24"/>
      <c r="B471" s="21"/>
      <c r="C471" s="21"/>
    </row>
    <row r="472">
      <c r="A472" s="24"/>
      <c r="B472" s="21"/>
      <c r="C472" s="21"/>
    </row>
    <row r="473">
      <c r="A473" s="24"/>
      <c r="B473" s="21"/>
      <c r="C473" s="21"/>
    </row>
    <row r="474">
      <c r="A474" s="24"/>
      <c r="B474" s="21"/>
      <c r="C474" s="21"/>
    </row>
    <row r="475">
      <c r="A475" s="24"/>
      <c r="B475" s="21"/>
      <c r="C475" s="21"/>
    </row>
    <row r="476">
      <c r="A476" s="24"/>
      <c r="B476" s="21"/>
      <c r="C476" s="21"/>
    </row>
    <row r="477">
      <c r="A477" s="24"/>
      <c r="B477" s="21"/>
      <c r="C477" s="21"/>
    </row>
    <row r="478">
      <c r="A478" s="24"/>
      <c r="B478" s="21"/>
      <c r="C478" s="21"/>
    </row>
    <row r="479">
      <c r="A479" s="24"/>
      <c r="B479" s="21"/>
      <c r="C479" s="21"/>
    </row>
    <row r="480">
      <c r="A480" s="24"/>
      <c r="B480" s="21"/>
      <c r="C480" s="21"/>
    </row>
    <row r="481">
      <c r="A481" s="24"/>
      <c r="B481" s="21"/>
      <c r="C481" s="21"/>
    </row>
    <row r="482">
      <c r="A482" s="24"/>
      <c r="B482" s="21"/>
      <c r="C482" s="21"/>
    </row>
    <row r="483">
      <c r="A483" s="24"/>
      <c r="B483" s="21"/>
      <c r="C483" s="21"/>
    </row>
    <row r="484">
      <c r="A484" s="24"/>
      <c r="B484" s="21"/>
      <c r="C484" s="21"/>
    </row>
    <row r="485">
      <c r="A485" s="24"/>
      <c r="B485" s="21"/>
      <c r="C485" s="21"/>
    </row>
    <row r="486">
      <c r="A486" s="24"/>
      <c r="B486" s="21"/>
      <c r="C486" s="21"/>
    </row>
    <row r="487">
      <c r="A487" s="24"/>
      <c r="B487" s="21"/>
      <c r="C487" s="21"/>
    </row>
    <row r="488">
      <c r="A488" s="24"/>
      <c r="B488" s="21"/>
      <c r="C488" s="21"/>
    </row>
    <row r="489">
      <c r="A489" s="24"/>
      <c r="B489" s="21"/>
      <c r="C489" s="21"/>
    </row>
    <row r="490">
      <c r="A490" s="24"/>
      <c r="B490" s="21"/>
      <c r="C490" s="21"/>
    </row>
    <row r="491">
      <c r="A491" s="24"/>
      <c r="B491" s="21"/>
      <c r="C491" s="21"/>
    </row>
    <row r="492">
      <c r="A492" s="24"/>
      <c r="B492" s="21"/>
      <c r="C492" s="21"/>
    </row>
    <row r="493">
      <c r="A493" s="24"/>
      <c r="B493" s="21"/>
      <c r="C493" s="21"/>
    </row>
    <row r="494">
      <c r="A494" s="24"/>
      <c r="B494" s="21"/>
      <c r="C494" s="21"/>
    </row>
    <row r="495">
      <c r="A495" s="24"/>
      <c r="B495" s="21"/>
      <c r="C495" s="21"/>
    </row>
    <row r="496">
      <c r="A496" s="24"/>
      <c r="B496" s="21"/>
      <c r="C496" s="21"/>
    </row>
    <row r="497">
      <c r="A497" s="24"/>
      <c r="B497" s="21"/>
      <c r="C497" s="21"/>
    </row>
    <row r="498">
      <c r="A498" s="24"/>
      <c r="B498" s="21"/>
      <c r="C498" s="21"/>
    </row>
    <row r="499">
      <c r="A499" s="24"/>
      <c r="B499" s="21"/>
      <c r="C499" s="21"/>
    </row>
    <row r="500">
      <c r="A500" s="24"/>
      <c r="B500" s="21"/>
      <c r="C500" s="21"/>
    </row>
    <row r="501">
      <c r="A501" s="24"/>
      <c r="B501" s="21"/>
      <c r="C501" s="21"/>
    </row>
    <row r="502">
      <c r="A502" s="24"/>
      <c r="B502" s="21"/>
      <c r="C502" s="21"/>
    </row>
    <row r="503">
      <c r="A503" s="24"/>
      <c r="B503" s="21"/>
      <c r="C503" s="21"/>
    </row>
    <row r="504">
      <c r="A504" s="24"/>
      <c r="B504" s="21"/>
      <c r="C504" s="21"/>
    </row>
    <row r="505">
      <c r="A505" s="24"/>
      <c r="B505" s="21"/>
      <c r="C505" s="21"/>
    </row>
    <row r="506">
      <c r="A506" s="24"/>
      <c r="B506" s="21"/>
      <c r="C506" s="21"/>
    </row>
    <row r="507">
      <c r="A507" s="24"/>
      <c r="B507" s="21"/>
      <c r="C507" s="21"/>
    </row>
    <row r="508">
      <c r="A508" s="24"/>
      <c r="B508" s="21"/>
      <c r="C508" s="21"/>
    </row>
    <row r="509">
      <c r="A509" s="24"/>
      <c r="B509" s="21"/>
      <c r="C509" s="21"/>
    </row>
    <row r="510">
      <c r="A510" s="24"/>
      <c r="B510" s="21"/>
      <c r="C510" s="21"/>
    </row>
    <row r="511">
      <c r="A511" s="24"/>
      <c r="B511" s="21"/>
      <c r="C511" s="21"/>
    </row>
    <row r="512">
      <c r="A512" s="24"/>
      <c r="B512" s="21"/>
      <c r="C512" s="21"/>
    </row>
    <row r="513">
      <c r="A513" s="24"/>
      <c r="B513" s="21"/>
      <c r="C513" s="21"/>
    </row>
    <row r="514">
      <c r="A514" s="24"/>
      <c r="B514" s="21"/>
      <c r="C514" s="21"/>
    </row>
    <row r="515">
      <c r="A515" s="24"/>
      <c r="B515" s="21"/>
      <c r="C515" s="21"/>
    </row>
    <row r="516">
      <c r="A516" s="24"/>
      <c r="B516" s="21"/>
      <c r="C516" s="21"/>
    </row>
    <row r="517">
      <c r="A517" s="24"/>
      <c r="B517" s="21"/>
      <c r="C517" s="21"/>
    </row>
    <row r="518">
      <c r="A518" s="24"/>
      <c r="B518" s="21"/>
      <c r="C518" s="21"/>
    </row>
    <row r="519">
      <c r="A519" s="24"/>
      <c r="B519" s="21"/>
      <c r="C519" s="21"/>
    </row>
    <row r="520">
      <c r="A520" s="24"/>
      <c r="B520" s="21"/>
      <c r="C520" s="21"/>
    </row>
    <row r="521">
      <c r="A521" s="24"/>
      <c r="B521" s="21"/>
      <c r="C521" s="21"/>
    </row>
    <row r="522">
      <c r="A522" s="24"/>
      <c r="B522" s="21"/>
      <c r="C522" s="21"/>
    </row>
    <row r="523">
      <c r="A523" s="24"/>
      <c r="B523" s="21"/>
      <c r="C523" s="21"/>
    </row>
    <row r="524">
      <c r="A524" s="24"/>
      <c r="B524" s="21"/>
      <c r="C524" s="21"/>
    </row>
    <row r="525">
      <c r="A525" s="24"/>
      <c r="B525" s="21"/>
      <c r="C525" s="21"/>
    </row>
    <row r="526">
      <c r="A526" s="24"/>
      <c r="B526" s="21"/>
      <c r="C526" s="21"/>
    </row>
    <row r="527">
      <c r="A527" s="24"/>
      <c r="B527" s="21"/>
      <c r="C527" s="21"/>
    </row>
    <row r="528">
      <c r="A528" s="24"/>
      <c r="B528" s="21"/>
      <c r="C528" s="21"/>
    </row>
    <row r="529">
      <c r="A529" s="24"/>
      <c r="B529" s="21"/>
      <c r="C529" s="21"/>
    </row>
    <row r="530">
      <c r="A530" s="24"/>
      <c r="B530" s="21"/>
      <c r="C530" s="21"/>
    </row>
    <row r="531">
      <c r="A531" s="24"/>
      <c r="B531" s="21"/>
      <c r="C531" s="21"/>
    </row>
    <row r="532">
      <c r="A532" s="24"/>
      <c r="B532" s="21"/>
      <c r="C532" s="21"/>
    </row>
    <row r="533">
      <c r="A533" s="24"/>
      <c r="B533" s="21"/>
      <c r="C533" s="21"/>
    </row>
    <row r="534">
      <c r="A534" s="24"/>
      <c r="B534" s="21"/>
      <c r="C534" s="21"/>
    </row>
    <row r="535">
      <c r="A535" s="24"/>
      <c r="B535" s="21"/>
      <c r="C535" s="21"/>
    </row>
    <row r="536">
      <c r="A536" s="24"/>
      <c r="B536" s="21"/>
      <c r="C536" s="21"/>
    </row>
    <row r="537">
      <c r="A537" s="24"/>
      <c r="B537" s="21"/>
      <c r="C537" s="21"/>
    </row>
    <row r="538">
      <c r="A538" s="24"/>
      <c r="B538" s="21"/>
      <c r="C538" s="21"/>
    </row>
    <row r="539">
      <c r="A539" s="24"/>
      <c r="B539" s="21"/>
      <c r="C539" s="21"/>
    </row>
    <row r="540">
      <c r="A540" s="24"/>
      <c r="B540" s="21"/>
      <c r="C540" s="21"/>
    </row>
    <row r="541">
      <c r="A541" s="24"/>
      <c r="B541" s="21"/>
      <c r="C541" s="21"/>
    </row>
    <row r="542">
      <c r="A542" s="24"/>
      <c r="B542" s="21"/>
      <c r="C542" s="21"/>
    </row>
    <row r="543">
      <c r="A543" s="24"/>
      <c r="B543" s="21"/>
      <c r="C543" s="21"/>
    </row>
    <row r="544">
      <c r="A544" s="24"/>
      <c r="B544" s="21"/>
      <c r="C544" s="21"/>
    </row>
    <row r="545">
      <c r="A545" s="24"/>
      <c r="B545" s="21"/>
      <c r="C545" s="21"/>
    </row>
    <row r="546">
      <c r="A546" s="24"/>
      <c r="B546" s="21"/>
      <c r="C546" s="21"/>
    </row>
    <row r="547">
      <c r="A547" s="24"/>
      <c r="B547" s="21"/>
      <c r="C547" s="21"/>
    </row>
    <row r="548">
      <c r="A548" s="24"/>
      <c r="B548" s="21"/>
      <c r="C548" s="21"/>
    </row>
    <row r="549">
      <c r="A549" s="24"/>
      <c r="B549" s="21"/>
      <c r="C549" s="21"/>
    </row>
    <row r="550">
      <c r="A550" s="24"/>
      <c r="B550" s="21"/>
      <c r="C550" s="21"/>
    </row>
    <row r="551">
      <c r="A551" s="24"/>
      <c r="B551" s="21"/>
      <c r="C551" s="21"/>
    </row>
    <row r="552">
      <c r="A552" s="24"/>
      <c r="B552" s="21"/>
      <c r="C552" s="21"/>
    </row>
    <row r="553">
      <c r="A553" s="24"/>
      <c r="B553" s="21"/>
      <c r="C553" s="21"/>
    </row>
    <row r="554">
      <c r="A554" s="24"/>
      <c r="B554" s="21"/>
      <c r="C554" s="21"/>
    </row>
    <row r="555">
      <c r="A555" s="24"/>
      <c r="B555" s="21"/>
      <c r="C555" s="21"/>
    </row>
    <row r="556">
      <c r="A556" s="24"/>
      <c r="B556" s="21"/>
      <c r="C556" s="21"/>
    </row>
    <row r="557">
      <c r="A557" s="24"/>
      <c r="B557" s="21"/>
      <c r="C557" s="21"/>
    </row>
    <row r="558">
      <c r="A558" s="24"/>
      <c r="B558" s="21"/>
      <c r="C558" s="21"/>
    </row>
    <row r="559">
      <c r="A559" s="24"/>
      <c r="B559" s="21"/>
      <c r="C559" s="21"/>
    </row>
    <row r="560">
      <c r="A560" s="24"/>
      <c r="B560" s="21"/>
      <c r="C560" s="21"/>
    </row>
    <row r="561">
      <c r="A561" s="24"/>
      <c r="B561" s="21"/>
      <c r="C561" s="21"/>
    </row>
    <row r="562">
      <c r="A562" s="24"/>
      <c r="B562" s="21"/>
      <c r="C562" s="21"/>
    </row>
    <row r="563">
      <c r="A563" s="24"/>
      <c r="B563" s="21"/>
      <c r="C563" s="21"/>
    </row>
    <row r="564">
      <c r="A564" s="24"/>
      <c r="B564" s="21"/>
      <c r="C564" s="21"/>
    </row>
    <row r="565">
      <c r="A565" s="24"/>
      <c r="B565" s="21"/>
      <c r="C565" s="21"/>
    </row>
    <row r="566">
      <c r="A566" s="24"/>
      <c r="B566" s="21"/>
      <c r="C566" s="21"/>
    </row>
    <row r="567">
      <c r="A567" s="24"/>
      <c r="B567" s="21"/>
      <c r="C567" s="21"/>
    </row>
    <row r="568">
      <c r="A568" s="24"/>
      <c r="B568" s="21"/>
      <c r="C568" s="21"/>
    </row>
    <row r="569">
      <c r="A569" s="24"/>
      <c r="B569" s="21"/>
      <c r="C569" s="21"/>
    </row>
    <row r="570">
      <c r="A570" s="24"/>
      <c r="B570" s="21"/>
      <c r="C570" s="21"/>
    </row>
    <row r="571">
      <c r="A571" s="24"/>
      <c r="B571" s="21"/>
      <c r="C571" s="21"/>
    </row>
    <row r="572">
      <c r="A572" s="24"/>
      <c r="B572" s="21"/>
      <c r="C572" s="21"/>
    </row>
    <row r="573">
      <c r="A573" s="24"/>
      <c r="B573" s="21"/>
      <c r="C573" s="21"/>
    </row>
    <row r="574">
      <c r="A574" s="24"/>
      <c r="B574" s="21"/>
      <c r="C574" s="21"/>
    </row>
    <row r="575">
      <c r="A575" s="24"/>
      <c r="B575" s="21"/>
      <c r="C575" s="21"/>
    </row>
    <row r="576">
      <c r="A576" s="24"/>
      <c r="B576" s="21"/>
      <c r="C576" s="21"/>
    </row>
    <row r="577">
      <c r="A577" s="24"/>
      <c r="B577" s="21"/>
      <c r="C577" s="21"/>
    </row>
    <row r="578">
      <c r="A578" s="24"/>
      <c r="B578" s="21"/>
      <c r="C578" s="21"/>
    </row>
    <row r="579">
      <c r="A579" s="24"/>
      <c r="B579" s="21"/>
      <c r="C579" s="21"/>
    </row>
    <row r="580">
      <c r="A580" s="24"/>
      <c r="B580" s="21"/>
      <c r="C580" s="21"/>
    </row>
    <row r="581">
      <c r="A581" s="24"/>
      <c r="B581" s="21"/>
      <c r="C581" s="21"/>
    </row>
    <row r="582">
      <c r="A582" s="24"/>
      <c r="B582" s="21"/>
      <c r="C582" s="21"/>
    </row>
    <row r="583">
      <c r="A583" s="24"/>
      <c r="B583" s="21"/>
      <c r="C583" s="21"/>
    </row>
    <row r="584">
      <c r="A584" s="24"/>
      <c r="B584" s="21"/>
      <c r="C584" s="21"/>
    </row>
    <row r="585">
      <c r="A585" s="24"/>
      <c r="B585" s="21"/>
      <c r="C585" s="21"/>
    </row>
    <row r="586">
      <c r="A586" s="24"/>
      <c r="B586" s="21"/>
      <c r="C586" s="21"/>
    </row>
    <row r="587">
      <c r="A587" s="24"/>
      <c r="B587" s="21"/>
      <c r="C587" s="21"/>
    </row>
    <row r="588">
      <c r="A588" s="24"/>
      <c r="B588" s="21"/>
      <c r="C588" s="21"/>
    </row>
    <row r="589">
      <c r="A589" s="24"/>
      <c r="B589" s="21"/>
      <c r="C589" s="21"/>
    </row>
    <row r="590">
      <c r="A590" s="24"/>
      <c r="B590" s="21"/>
      <c r="C590" s="21"/>
    </row>
    <row r="591">
      <c r="A591" s="24"/>
      <c r="B591" s="21"/>
      <c r="C591" s="21"/>
    </row>
    <row r="592">
      <c r="A592" s="24"/>
      <c r="B592" s="21"/>
      <c r="C592" s="21"/>
    </row>
    <row r="593">
      <c r="A593" s="24"/>
      <c r="B593" s="21"/>
      <c r="C593" s="21"/>
    </row>
    <row r="594">
      <c r="A594" s="24"/>
      <c r="B594" s="21"/>
      <c r="C594" s="21"/>
    </row>
    <row r="595">
      <c r="A595" s="24"/>
      <c r="B595" s="21"/>
      <c r="C595" s="21"/>
    </row>
    <row r="596">
      <c r="A596" s="24"/>
      <c r="B596" s="21"/>
      <c r="C596" s="21"/>
    </row>
    <row r="597">
      <c r="A597" s="24"/>
      <c r="B597" s="21"/>
      <c r="C597" s="21"/>
    </row>
    <row r="598">
      <c r="A598" s="24"/>
      <c r="B598" s="21"/>
      <c r="C598" s="21"/>
    </row>
    <row r="599">
      <c r="A599" s="24"/>
      <c r="B599" s="21"/>
      <c r="C599" s="21"/>
    </row>
    <row r="600">
      <c r="A600" s="24"/>
      <c r="B600" s="21"/>
      <c r="C600" s="21"/>
    </row>
    <row r="601">
      <c r="A601" s="24"/>
      <c r="B601" s="21"/>
      <c r="C601" s="21"/>
    </row>
    <row r="602">
      <c r="A602" s="24"/>
      <c r="B602" s="21"/>
      <c r="C602" s="21"/>
    </row>
    <row r="603">
      <c r="A603" s="24"/>
      <c r="B603" s="21"/>
      <c r="C603" s="21"/>
    </row>
    <row r="604">
      <c r="A604" s="24"/>
      <c r="B604" s="21"/>
      <c r="C604" s="21"/>
    </row>
    <row r="605">
      <c r="A605" s="24"/>
      <c r="B605" s="21"/>
      <c r="C605" s="21"/>
    </row>
    <row r="606">
      <c r="A606" s="24"/>
      <c r="B606" s="21"/>
      <c r="C606" s="21"/>
    </row>
    <row r="607">
      <c r="A607" s="24"/>
      <c r="B607" s="21"/>
      <c r="C607" s="21"/>
    </row>
    <row r="608">
      <c r="A608" s="24"/>
      <c r="B608" s="21"/>
      <c r="C608" s="21"/>
    </row>
    <row r="609">
      <c r="A609" s="24"/>
      <c r="B609" s="21"/>
      <c r="C609" s="21"/>
    </row>
    <row r="610">
      <c r="A610" s="24"/>
      <c r="B610" s="21"/>
      <c r="C610" s="21"/>
    </row>
    <row r="611">
      <c r="A611" s="24"/>
      <c r="B611" s="21"/>
      <c r="C611" s="21"/>
    </row>
    <row r="612">
      <c r="A612" s="24"/>
      <c r="B612" s="21"/>
      <c r="C612" s="21"/>
    </row>
    <row r="613">
      <c r="A613" s="24"/>
      <c r="B613" s="21"/>
      <c r="C613" s="21"/>
    </row>
    <row r="614">
      <c r="A614" s="24"/>
      <c r="B614" s="21"/>
      <c r="C614" s="21"/>
    </row>
    <row r="615">
      <c r="A615" s="24"/>
      <c r="B615" s="21"/>
      <c r="C615" s="21"/>
    </row>
    <row r="616">
      <c r="A616" s="24"/>
      <c r="B616" s="21"/>
      <c r="C616" s="21"/>
    </row>
    <row r="617">
      <c r="A617" s="24"/>
      <c r="B617" s="21"/>
      <c r="C617" s="21"/>
    </row>
    <row r="618">
      <c r="A618" s="24"/>
      <c r="B618" s="21"/>
      <c r="C618" s="21"/>
    </row>
    <row r="619">
      <c r="A619" s="24"/>
      <c r="B619" s="21"/>
      <c r="C619" s="21"/>
    </row>
    <row r="620">
      <c r="A620" s="24"/>
      <c r="B620" s="21"/>
      <c r="C620" s="21"/>
    </row>
    <row r="621">
      <c r="A621" s="24"/>
      <c r="B621" s="21"/>
      <c r="C621" s="21"/>
    </row>
    <row r="622">
      <c r="A622" s="24"/>
      <c r="B622" s="21"/>
      <c r="C622" s="21"/>
    </row>
    <row r="623">
      <c r="A623" s="24"/>
      <c r="B623" s="21"/>
      <c r="C623" s="21"/>
    </row>
    <row r="624">
      <c r="A624" s="24"/>
      <c r="B624" s="21"/>
      <c r="C624" s="21"/>
    </row>
    <row r="625">
      <c r="A625" s="24"/>
      <c r="B625" s="21"/>
      <c r="C625" s="21"/>
    </row>
    <row r="626">
      <c r="A626" s="24"/>
      <c r="B626" s="21"/>
      <c r="C626" s="21"/>
    </row>
    <row r="627">
      <c r="A627" s="24"/>
      <c r="B627" s="21"/>
      <c r="C627" s="21"/>
    </row>
    <row r="628">
      <c r="A628" s="24"/>
      <c r="B628" s="21"/>
      <c r="C628" s="21"/>
    </row>
    <row r="629">
      <c r="A629" s="24"/>
      <c r="B629" s="21"/>
      <c r="C629" s="21"/>
    </row>
    <row r="630">
      <c r="A630" s="24"/>
      <c r="B630" s="21"/>
      <c r="C630" s="21"/>
    </row>
    <row r="631">
      <c r="A631" s="24"/>
      <c r="B631" s="21"/>
      <c r="C631" s="21"/>
    </row>
    <row r="632">
      <c r="A632" s="24"/>
      <c r="B632" s="21"/>
      <c r="C632" s="21"/>
    </row>
    <row r="633">
      <c r="A633" s="24"/>
      <c r="B633" s="21"/>
      <c r="C633" s="21"/>
    </row>
    <row r="634">
      <c r="A634" s="24"/>
      <c r="B634" s="21"/>
      <c r="C634" s="21"/>
    </row>
    <row r="635">
      <c r="A635" s="24"/>
      <c r="B635" s="21"/>
      <c r="C635" s="21"/>
    </row>
    <row r="636">
      <c r="A636" s="24"/>
      <c r="B636" s="21"/>
      <c r="C636" s="21"/>
    </row>
    <row r="637">
      <c r="A637" s="24"/>
      <c r="B637" s="21"/>
      <c r="C637" s="21"/>
    </row>
    <row r="638">
      <c r="A638" s="24"/>
      <c r="B638" s="21"/>
      <c r="C638" s="21"/>
    </row>
    <row r="639">
      <c r="A639" s="24"/>
      <c r="B639" s="21"/>
      <c r="C639" s="21"/>
    </row>
    <row r="640">
      <c r="A640" s="24"/>
      <c r="B640" s="21"/>
      <c r="C640" s="21"/>
    </row>
    <row r="641">
      <c r="A641" s="24"/>
      <c r="B641" s="21"/>
      <c r="C641" s="21"/>
    </row>
    <row r="642">
      <c r="A642" s="24"/>
      <c r="B642" s="21"/>
      <c r="C642" s="21"/>
    </row>
    <row r="643">
      <c r="A643" s="24"/>
      <c r="B643" s="21"/>
      <c r="C643" s="21"/>
    </row>
    <row r="644">
      <c r="A644" s="24"/>
      <c r="B644" s="21"/>
      <c r="C644" s="21"/>
    </row>
    <row r="645">
      <c r="A645" s="24"/>
      <c r="B645" s="21"/>
      <c r="C645" s="21"/>
    </row>
    <row r="646">
      <c r="A646" s="24"/>
      <c r="B646" s="21"/>
      <c r="C646" s="21"/>
    </row>
    <row r="647">
      <c r="A647" s="24"/>
      <c r="B647" s="21"/>
      <c r="C647" s="21"/>
    </row>
    <row r="648">
      <c r="A648" s="24"/>
      <c r="B648" s="21"/>
      <c r="C648" s="21"/>
    </row>
    <row r="649">
      <c r="A649" s="24"/>
      <c r="B649" s="21"/>
      <c r="C649" s="21"/>
    </row>
    <row r="650">
      <c r="A650" s="24"/>
      <c r="B650" s="21"/>
      <c r="C650" s="21"/>
    </row>
    <row r="651">
      <c r="A651" s="24"/>
      <c r="B651" s="21"/>
      <c r="C651" s="21"/>
    </row>
    <row r="652">
      <c r="A652" s="24"/>
      <c r="B652" s="21"/>
      <c r="C652" s="21"/>
    </row>
    <row r="653">
      <c r="A653" s="24"/>
      <c r="B653" s="21"/>
      <c r="C653" s="21"/>
    </row>
    <row r="654">
      <c r="A654" s="24"/>
      <c r="B654" s="21"/>
      <c r="C654" s="21"/>
    </row>
    <row r="655">
      <c r="A655" s="24"/>
      <c r="B655" s="21"/>
      <c r="C655" s="21"/>
    </row>
    <row r="656">
      <c r="A656" s="24"/>
      <c r="B656" s="21"/>
      <c r="C656" s="21"/>
    </row>
    <row r="657">
      <c r="A657" s="24"/>
      <c r="B657" s="21"/>
      <c r="C657" s="21"/>
    </row>
    <row r="658">
      <c r="A658" s="24"/>
      <c r="B658" s="21"/>
      <c r="C658" s="21"/>
    </row>
    <row r="659">
      <c r="A659" s="24"/>
      <c r="B659" s="21"/>
      <c r="C659" s="21"/>
    </row>
    <row r="660">
      <c r="A660" s="24"/>
      <c r="B660" s="21"/>
      <c r="C660" s="21"/>
    </row>
    <row r="661">
      <c r="A661" s="24"/>
      <c r="B661" s="21"/>
      <c r="C661" s="21"/>
    </row>
    <row r="662">
      <c r="A662" s="24"/>
      <c r="B662" s="21"/>
      <c r="C662" s="21"/>
    </row>
    <row r="663">
      <c r="A663" s="24"/>
      <c r="B663" s="21"/>
      <c r="C663" s="21"/>
    </row>
    <row r="664">
      <c r="A664" s="24"/>
      <c r="B664" s="21"/>
      <c r="C664" s="21"/>
    </row>
    <row r="665">
      <c r="A665" s="24"/>
      <c r="B665" s="21"/>
      <c r="C665" s="21"/>
    </row>
    <row r="666">
      <c r="A666" s="24"/>
      <c r="B666" s="21"/>
      <c r="C666" s="21"/>
    </row>
    <row r="667">
      <c r="A667" s="24"/>
      <c r="B667" s="21"/>
      <c r="C667" s="21"/>
    </row>
    <row r="668">
      <c r="A668" s="24"/>
      <c r="B668" s="21"/>
      <c r="C668" s="21"/>
    </row>
    <row r="669">
      <c r="A669" s="24"/>
      <c r="B669" s="21"/>
      <c r="C669" s="21"/>
    </row>
    <row r="670">
      <c r="A670" s="24"/>
      <c r="B670" s="21"/>
      <c r="C670" s="21"/>
    </row>
    <row r="671">
      <c r="A671" s="24"/>
      <c r="B671" s="21"/>
      <c r="C671" s="21"/>
    </row>
    <row r="672">
      <c r="A672" s="24"/>
      <c r="B672" s="21"/>
      <c r="C672" s="21"/>
    </row>
    <row r="673">
      <c r="A673" s="24"/>
      <c r="B673" s="21"/>
      <c r="C673" s="21"/>
    </row>
    <row r="674">
      <c r="A674" s="24"/>
      <c r="B674" s="21"/>
      <c r="C674" s="21"/>
    </row>
    <row r="675">
      <c r="A675" s="24"/>
      <c r="B675" s="21"/>
      <c r="C675" s="21"/>
    </row>
    <row r="676">
      <c r="A676" s="24"/>
      <c r="B676" s="21"/>
      <c r="C676" s="21"/>
    </row>
    <row r="677">
      <c r="A677" s="24"/>
      <c r="B677" s="21"/>
      <c r="C677" s="21"/>
    </row>
    <row r="678">
      <c r="A678" s="24"/>
      <c r="B678" s="21"/>
      <c r="C678" s="21"/>
    </row>
    <row r="679">
      <c r="A679" s="24"/>
      <c r="B679" s="21"/>
      <c r="C679" s="21"/>
    </row>
    <row r="680">
      <c r="A680" s="24"/>
      <c r="B680" s="21"/>
      <c r="C680" s="21"/>
    </row>
    <row r="681">
      <c r="A681" s="24"/>
      <c r="B681" s="21"/>
      <c r="C681" s="21"/>
    </row>
    <row r="682">
      <c r="A682" s="24"/>
      <c r="B682" s="21"/>
      <c r="C682" s="21"/>
    </row>
    <row r="683">
      <c r="A683" s="24"/>
      <c r="B683" s="21"/>
      <c r="C683" s="21"/>
    </row>
    <row r="684">
      <c r="A684" s="24"/>
      <c r="B684" s="21"/>
      <c r="C684" s="21"/>
    </row>
    <row r="685">
      <c r="A685" s="24"/>
      <c r="B685" s="21"/>
      <c r="C685" s="21"/>
    </row>
    <row r="686">
      <c r="A686" s="24"/>
      <c r="B686" s="21"/>
      <c r="C686" s="21"/>
    </row>
    <row r="687">
      <c r="A687" s="24"/>
      <c r="B687" s="21"/>
      <c r="C687" s="21"/>
    </row>
    <row r="688">
      <c r="A688" s="24"/>
      <c r="B688" s="21"/>
      <c r="C688" s="21"/>
    </row>
    <row r="689">
      <c r="A689" s="24"/>
      <c r="B689" s="21"/>
      <c r="C689" s="21"/>
    </row>
    <row r="690">
      <c r="A690" s="24"/>
      <c r="B690" s="21"/>
      <c r="C690" s="21"/>
    </row>
    <row r="691">
      <c r="A691" s="24"/>
      <c r="B691" s="21"/>
      <c r="C691" s="21"/>
    </row>
    <row r="692">
      <c r="A692" s="24"/>
      <c r="B692" s="21"/>
      <c r="C692" s="21"/>
    </row>
    <row r="693">
      <c r="A693" s="24"/>
      <c r="B693" s="21"/>
      <c r="C693" s="21"/>
    </row>
    <row r="694">
      <c r="A694" s="24"/>
      <c r="B694" s="21"/>
      <c r="C694" s="21"/>
    </row>
    <row r="695">
      <c r="A695" s="24"/>
      <c r="B695" s="21"/>
      <c r="C695" s="21"/>
    </row>
    <row r="696">
      <c r="A696" s="24"/>
      <c r="B696" s="21"/>
      <c r="C696" s="21"/>
    </row>
    <row r="697">
      <c r="A697" s="24"/>
      <c r="B697" s="21"/>
      <c r="C697" s="21"/>
    </row>
    <row r="698">
      <c r="A698" s="24"/>
      <c r="B698" s="21"/>
      <c r="C698" s="21"/>
    </row>
    <row r="699">
      <c r="A699" s="24"/>
      <c r="B699" s="21"/>
      <c r="C699" s="21"/>
    </row>
    <row r="700">
      <c r="A700" s="24"/>
      <c r="B700" s="21"/>
      <c r="C700" s="21"/>
    </row>
    <row r="701">
      <c r="A701" s="24"/>
      <c r="B701" s="21"/>
      <c r="C701" s="21"/>
    </row>
    <row r="702">
      <c r="A702" s="24"/>
      <c r="B702" s="21"/>
      <c r="C702" s="21"/>
    </row>
    <row r="703">
      <c r="A703" s="24"/>
      <c r="B703" s="21"/>
      <c r="C703" s="21"/>
    </row>
    <row r="704">
      <c r="A704" s="24"/>
      <c r="B704" s="21"/>
      <c r="C704" s="21"/>
    </row>
    <row r="705">
      <c r="A705" s="24"/>
      <c r="B705" s="21"/>
      <c r="C705" s="21"/>
    </row>
    <row r="706">
      <c r="A706" s="24"/>
      <c r="B706" s="21"/>
      <c r="C706" s="21"/>
    </row>
    <row r="707">
      <c r="A707" s="24"/>
      <c r="B707" s="21"/>
      <c r="C707" s="21"/>
    </row>
    <row r="708">
      <c r="A708" s="24"/>
      <c r="B708" s="21"/>
      <c r="C708" s="21"/>
    </row>
    <row r="709">
      <c r="A709" s="24"/>
      <c r="B709" s="21"/>
      <c r="C709" s="21"/>
    </row>
    <row r="710">
      <c r="A710" s="24"/>
      <c r="B710" s="21"/>
      <c r="C710" s="21"/>
    </row>
    <row r="711">
      <c r="A711" s="24"/>
      <c r="B711" s="21"/>
      <c r="C711" s="21"/>
    </row>
    <row r="712">
      <c r="A712" s="24"/>
      <c r="B712" s="21"/>
      <c r="C712" s="21"/>
    </row>
    <row r="713">
      <c r="A713" s="24"/>
      <c r="B713" s="21"/>
      <c r="C713" s="21"/>
    </row>
    <row r="714">
      <c r="A714" s="24"/>
      <c r="B714" s="21"/>
      <c r="C714" s="21"/>
    </row>
    <row r="715">
      <c r="A715" s="24"/>
      <c r="B715" s="21"/>
      <c r="C715" s="21"/>
    </row>
    <row r="716">
      <c r="A716" s="24"/>
      <c r="B716" s="21"/>
      <c r="C716" s="21"/>
    </row>
    <row r="717">
      <c r="A717" s="24"/>
      <c r="B717" s="21"/>
      <c r="C717" s="21"/>
    </row>
    <row r="718">
      <c r="A718" s="24"/>
      <c r="B718" s="21"/>
      <c r="C718" s="21"/>
    </row>
    <row r="719">
      <c r="A719" s="24"/>
      <c r="B719" s="21"/>
      <c r="C719" s="21"/>
    </row>
    <row r="720">
      <c r="A720" s="24"/>
      <c r="B720" s="21"/>
      <c r="C720" s="21"/>
    </row>
    <row r="721">
      <c r="A721" s="24"/>
      <c r="B721" s="21"/>
      <c r="C721" s="21"/>
    </row>
    <row r="722">
      <c r="A722" s="24"/>
      <c r="B722" s="21"/>
      <c r="C722" s="21"/>
    </row>
    <row r="723">
      <c r="A723" s="24"/>
      <c r="B723" s="21"/>
      <c r="C723" s="21"/>
    </row>
    <row r="724">
      <c r="A724" s="24"/>
      <c r="B724" s="21"/>
      <c r="C724" s="21"/>
    </row>
    <row r="725">
      <c r="A725" s="24"/>
      <c r="B725" s="21"/>
      <c r="C725" s="21"/>
    </row>
    <row r="726">
      <c r="A726" s="24"/>
      <c r="B726" s="21"/>
      <c r="C726" s="21"/>
    </row>
    <row r="727">
      <c r="A727" s="24"/>
      <c r="B727" s="21"/>
      <c r="C727" s="21"/>
    </row>
    <row r="728">
      <c r="A728" s="24"/>
      <c r="B728" s="21"/>
      <c r="C728" s="21"/>
    </row>
    <row r="729">
      <c r="A729" s="24"/>
      <c r="B729" s="21"/>
      <c r="C729" s="21"/>
    </row>
    <row r="730">
      <c r="A730" s="24"/>
      <c r="B730" s="21"/>
      <c r="C730" s="21"/>
    </row>
    <row r="731">
      <c r="A731" s="24"/>
      <c r="B731" s="21"/>
      <c r="C731" s="21"/>
    </row>
    <row r="732">
      <c r="A732" s="24"/>
      <c r="B732" s="21"/>
      <c r="C732" s="21"/>
    </row>
    <row r="733">
      <c r="A733" s="24"/>
      <c r="B733" s="21"/>
      <c r="C733" s="21"/>
    </row>
    <row r="734">
      <c r="A734" s="24"/>
      <c r="B734" s="21"/>
      <c r="C734" s="21"/>
    </row>
    <row r="735">
      <c r="A735" s="24"/>
      <c r="B735" s="21"/>
      <c r="C735" s="21"/>
    </row>
    <row r="736">
      <c r="A736" s="24"/>
      <c r="B736" s="21"/>
      <c r="C736" s="21"/>
    </row>
    <row r="737">
      <c r="A737" s="24"/>
      <c r="B737" s="21"/>
      <c r="C737" s="21"/>
    </row>
    <row r="738">
      <c r="A738" s="24"/>
      <c r="B738" s="21"/>
      <c r="C738" s="21"/>
    </row>
    <row r="739">
      <c r="A739" s="24"/>
      <c r="B739" s="21"/>
      <c r="C739" s="21"/>
    </row>
    <row r="740">
      <c r="A740" s="24"/>
      <c r="B740" s="21"/>
      <c r="C740" s="21"/>
    </row>
    <row r="741">
      <c r="A741" s="24"/>
      <c r="B741" s="21"/>
      <c r="C741" s="21"/>
    </row>
    <row r="742">
      <c r="A742" s="24"/>
      <c r="B742" s="21"/>
      <c r="C742" s="21"/>
    </row>
    <row r="743">
      <c r="A743" s="24"/>
      <c r="B743" s="21"/>
      <c r="C743" s="21"/>
    </row>
    <row r="744">
      <c r="A744" s="24"/>
      <c r="B744" s="21"/>
      <c r="C744" s="21"/>
    </row>
    <row r="745">
      <c r="A745" s="24"/>
      <c r="B745" s="21"/>
      <c r="C745" s="21"/>
    </row>
    <row r="746">
      <c r="A746" s="24"/>
      <c r="B746" s="21"/>
      <c r="C746" s="21"/>
    </row>
    <row r="747">
      <c r="A747" s="24"/>
      <c r="B747" s="21"/>
      <c r="C747" s="21"/>
    </row>
    <row r="748">
      <c r="A748" s="24"/>
      <c r="B748" s="21"/>
      <c r="C748" s="21"/>
    </row>
    <row r="749">
      <c r="A749" s="24"/>
      <c r="B749" s="21"/>
      <c r="C749" s="21"/>
    </row>
    <row r="750">
      <c r="A750" s="24"/>
      <c r="B750" s="21"/>
      <c r="C750" s="21"/>
    </row>
    <row r="751">
      <c r="A751" s="24"/>
      <c r="B751" s="21"/>
      <c r="C751" s="21"/>
    </row>
    <row r="752">
      <c r="A752" s="24"/>
      <c r="B752" s="21"/>
      <c r="C752" s="21"/>
    </row>
    <row r="753">
      <c r="A753" s="24"/>
      <c r="B753" s="21"/>
      <c r="C753" s="21"/>
    </row>
    <row r="754">
      <c r="A754" s="24"/>
      <c r="B754" s="21"/>
      <c r="C754" s="21"/>
    </row>
    <row r="755">
      <c r="A755" s="24"/>
      <c r="B755" s="21"/>
      <c r="C755" s="21"/>
    </row>
    <row r="756">
      <c r="A756" s="24"/>
      <c r="B756" s="21"/>
      <c r="C756" s="21"/>
    </row>
    <row r="757">
      <c r="A757" s="24"/>
      <c r="B757" s="21"/>
      <c r="C757" s="21"/>
    </row>
    <row r="758">
      <c r="A758" s="24"/>
      <c r="B758" s="21"/>
      <c r="C758" s="21"/>
    </row>
    <row r="759">
      <c r="A759" s="24"/>
      <c r="B759" s="21"/>
      <c r="C759" s="21"/>
    </row>
    <row r="760">
      <c r="A760" s="24"/>
      <c r="B760" s="21"/>
      <c r="C760" s="21"/>
    </row>
    <row r="761">
      <c r="A761" s="24"/>
      <c r="B761" s="21"/>
      <c r="C761" s="21"/>
    </row>
    <row r="762">
      <c r="A762" s="24"/>
      <c r="B762" s="21"/>
      <c r="C762" s="21"/>
    </row>
    <row r="763">
      <c r="A763" s="24"/>
      <c r="B763" s="21"/>
      <c r="C763" s="21"/>
    </row>
    <row r="764">
      <c r="A764" s="24"/>
      <c r="B764" s="21"/>
      <c r="C764" s="21"/>
    </row>
    <row r="765">
      <c r="A765" s="24"/>
      <c r="B765" s="21"/>
      <c r="C765" s="21"/>
    </row>
    <row r="766">
      <c r="A766" s="24"/>
      <c r="B766" s="21"/>
      <c r="C766" s="21"/>
    </row>
    <row r="767">
      <c r="A767" s="24"/>
      <c r="B767" s="21"/>
      <c r="C767" s="21"/>
    </row>
    <row r="768">
      <c r="A768" s="24"/>
      <c r="B768" s="21"/>
      <c r="C768" s="21"/>
    </row>
    <row r="769">
      <c r="A769" s="24"/>
      <c r="B769" s="21"/>
      <c r="C769" s="21"/>
    </row>
    <row r="770">
      <c r="A770" s="24"/>
      <c r="B770" s="21"/>
      <c r="C770" s="21"/>
    </row>
    <row r="771">
      <c r="A771" s="24"/>
      <c r="B771" s="21"/>
      <c r="C771" s="21"/>
    </row>
    <row r="772">
      <c r="A772" s="24"/>
      <c r="B772" s="21"/>
      <c r="C772" s="21"/>
    </row>
    <row r="773">
      <c r="A773" s="24"/>
      <c r="B773" s="21"/>
      <c r="C773" s="21"/>
    </row>
    <row r="774">
      <c r="A774" s="24"/>
      <c r="B774" s="21"/>
      <c r="C774" s="21"/>
    </row>
    <row r="775">
      <c r="A775" s="24"/>
      <c r="B775" s="21"/>
      <c r="C775" s="21"/>
    </row>
    <row r="776">
      <c r="A776" s="24"/>
      <c r="B776" s="21"/>
      <c r="C776" s="21"/>
    </row>
    <row r="777">
      <c r="A777" s="24"/>
      <c r="B777" s="21"/>
      <c r="C777" s="21"/>
    </row>
    <row r="778">
      <c r="A778" s="24"/>
      <c r="B778" s="21"/>
      <c r="C778" s="21"/>
    </row>
    <row r="779">
      <c r="A779" s="24"/>
      <c r="B779" s="21"/>
      <c r="C779" s="21"/>
    </row>
    <row r="780">
      <c r="A780" s="24"/>
      <c r="B780" s="21"/>
      <c r="C780" s="21"/>
    </row>
    <row r="781">
      <c r="A781" s="24"/>
      <c r="B781" s="21"/>
      <c r="C781" s="21"/>
    </row>
    <row r="782">
      <c r="A782" s="24"/>
      <c r="B782" s="21"/>
      <c r="C782" s="21"/>
    </row>
    <row r="783">
      <c r="A783" s="24"/>
      <c r="B783" s="21"/>
      <c r="C783" s="21"/>
    </row>
    <row r="784">
      <c r="A784" s="24"/>
      <c r="B784" s="21"/>
      <c r="C784" s="21"/>
    </row>
    <row r="785">
      <c r="A785" s="24"/>
      <c r="B785" s="21"/>
      <c r="C785" s="21"/>
    </row>
    <row r="786">
      <c r="A786" s="24"/>
      <c r="B786" s="21"/>
      <c r="C786" s="21"/>
    </row>
    <row r="787">
      <c r="A787" s="24"/>
      <c r="B787" s="21"/>
      <c r="C787" s="21"/>
    </row>
    <row r="788">
      <c r="A788" s="24"/>
      <c r="B788" s="21"/>
      <c r="C788" s="21"/>
    </row>
    <row r="789">
      <c r="A789" s="24"/>
      <c r="B789" s="21"/>
      <c r="C789" s="21"/>
    </row>
    <row r="790">
      <c r="A790" s="24"/>
      <c r="B790" s="21"/>
      <c r="C790" s="21"/>
    </row>
    <row r="791">
      <c r="A791" s="24"/>
      <c r="B791" s="21"/>
      <c r="C791" s="21"/>
    </row>
    <row r="792">
      <c r="A792" s="24"/>
      <c r="B792" s="21"/>
      <c r="C792" s="21"/>
    </row>
    <row r="793">
      <c r="A793" s="24"/>
      <c r="B793" s="21"/>
      <c r="C793" s="21"/>
    </row>
    <row r="794">
      <c r="A794" s="24"/>
      <c r="B794" s="21"/>
      <c r="C794" s="21"/>
    </row>
    <row r="795">
      <c r="A795" s="24"/>
      <c r="B795" s="21"/>
      <c r="C795" s="21"/>
    </row>
    <row r="796">
      <c r="A796" s="24"/>
      <c r="B796" s="21"/>
      <c r="C796" s="21"/>
    </row>
    <row r="797">
      <c r="A797" s="24"/>
      <c r="B797" s="21"/>
      <c r="C797" s="21"/>
    </row>
    <row r="798">
      <c r="A798" s="24"/>
      <c r="B798" s="21"/>
      <c r="C798" s="21"/>
    </row>
    <row r="799">
      <c r="A799" s="24"/>
      <c r="B799" s="21"/>
      <c r="C799" s="21"/>
    </row>
    <row r="800">
      <c r="A800" s="24"/>
      <c r="B800" s="21"/>
      <c r="C800" s="21"/>
    </row>
    <row r="801">
      <c r="A801" s="24"/>
      <c r="B801" s="21"/>
      <c r="C801" s="21"/>
    </row>
    <row r="802">
      <c r="A802" s="24"/>
      <c r="B802" s="21"/>
      <c r="C802" s="21"/>
    </row>
    <row r="803">
      <c r="A803" s="24"/>
      <c r="B803" s="21"/>
      <c r="C803" s="21"/>
    </row>
    <row r="804">
      <c r="A804" s="24"/>
      <c r="B804" s="21"/>
      <c r="C804" s="21"/>
    </row>
    <row r="805">
      <c r="A805" s="24"/>
      <c r="B805" s="21"/>
      <c r="C805" s="21"/>
    </row>
    <row r="806">
      <c r="A806" s="24"/>
      <c r="B806" s="21"/>
      <c r="C806" s="21"/>
    </row>
    <row r="807">
      <c r="A807" s="24"/>
      <c r="B807" s="21"/>
      <c r="C807" s="21"/>
    </row>
    <row r="808">
      <c r="A808" s="24"/>
      <c r="B808" s="21"/>
      <c r="C808" s="21"/>
    </row>
    <row r="809">
      <c r="A809" s="24"/>
      <c r="B809" s="21"/>
      <c r="C809" s="21"/>
    </row>
    <row r="810">
      <c r="A810" s="24"/>
      <c r="B810" s="21"/>
      <c r="C810" s="21"/>
    </row>
    <row r="811">
      <c r="A811" s="24"/>
      <c r="B811" s="21"/>
      <c r="C811" s="21"/>
    </row>
    <row r="812">
      <c r="A812" s="24"/>
      <c r="B812" s="21"/>
      <c r="C812" s="21"/>
    </row>
    <row r="813">
      <c r="A813" s="24"/>
      <c r="B813" s="21"/>
      <c r="C813" s="21"/>
    </row>
    <row r="814">
      <c r="A814" s="24"/>
      <c r="B814" s="21"/>
      <c r="C814" s="21"/>
    </row>
    <row r="815">
      <c r="A815" s="24"/>
      <c r="B815" s="21"/>
      <c r="C815" s="21"/>
    </row>
    <row r="816">
      <c r="A816" s="24"/>
      <c r="B816" s="21"/>
      <c r="C816" s="21"/>
    </row>
    <row r="817">
      <c r="A817" s="24"/>
      <c r="B817" s="21"/>
      <c r="C817" s="21"/>
    </row>
    <row r="818">
      <c r="A818" s="24"/>
      <c r="B818" s="21"/>
      <c r="C818" s="21"/>
    </row>
    <row r="819">
      <c r="A819" s="24"/>
      <c r="B819" s="21"/>
      <c r="C819" s="21"/>
    </row>
    <row r="820">
      <c r="A820" s="24"/>
      <c r="B820" s="21"/>
      <c r="C820" s="21"/>
    </row>
    <row r="821">
      <c r="A821" s="24"/>
      <c r="B821" s="21"/>
      <c r="C821" s="21"/>
    </row>
    <row r="822">
      <c r="A822" s="24"/>
      <c r="B822" s="21"/>
      <c r="C822" s="21"/>
    </row>
    <row r="823">
      <c r="A823" s="24"/>
      <c r="B823" s="21"/>
      <c r="C823" s="21"/>
    </row>
    <row r="824">
      <c r="A824" s="24"/>
      <c r="B824" s="21"/>
      <c r="C824" s="21"/>
    </row>
    <row r="825">
      <c r="A825" s="24"/>
      <c r="B825" s="21"/>
      <c r="C825" s="21"/>
    </row>
    <row r="826">
      <c r="A826" s="24"/>
      <c r="B826" s="21"/>
      <c r="C826" s="21"/>
    </row>
    <row r="827">
      <c r="A827" s="24"/>
      <c r="B827" s="21"/>
      <c r="C827" s="21"/>
    </row>
    <row r="828">
      <c r="A828" s="24"/>
      <c r="B828" s="21"/>
      <c r="C828" s="21"/>
    </row>
    <row r="829">
      <c r="A829" s="24"/>
      <c r="B829" s="21"/>
      <c r="C829" s="21"/>
    </row>
    <row r="830">
      <c r="A830" s="24"/>
      <c r="B830" s="21"/>
      <c r="C830" s="21"/>
    </row>
    <row r="831">
      <c r="A831" s="24"/>
      <c r="B831" s="21"/>
      <c r="C831" s="21"/>
    </row>
    <row r="832">
      <c r="A832" s="24"/>
      <c r="B832" s="21"/>
      <c r="C832" s="21"/>
    </row>
    <row r="833">
      <c r="A833" s="24"/>
      <c r="B833" s="21"/>
      <c r="C833" s="21"/>
    </row>
    <row r="834">
      <c r="A834" s="24"/>
      <c r="B834" s="21"/>
      <c r="C834" s="21"/>
    </row>
    <row r="835">
      <c r="A835" s="24"/>
      <c r="B835" s="21"/>
      <c r="C835" s="21"/>
    </row>
    <row r="836">
      <c r="A836" s="24"/>
      <c r="B836" s="21"/>
      <c r="C836" s="21"/>
    </row>
    <row r="837">
      <c r="A837" s="24"/>
      <c r="B837" s="21"/>
      <c r="C837" s="21"/>
    </row>
    <row r="838">
      <c r="A838" s="24"/>
      <c r="B838" s="21"/>
      <c r="C838" s="21"/>
    </row>
    <row r="839">
      <c r="A839" s="24"/>
      <c r="B839" s="21"/>
      <c r="C839" s="21"/>
    </row>
    <row r="840">
      <c r="A840" s="24"/>
      <c r="B840" s="21"/>
      <c r="C840" s="21"/>
    </row>
    <row r="841">
      <c r="A841" s="24"/>
      <c r="B841" s="21"/>
      <c r="C841" s="21"/>
    </row>
    <row r="842">
      <c r="A842" s="24"/>
      <c r="B842" s="21"/>
      <c r="C842" s="21"/>
    </row>
    <row r="843">
      <c r="A843" s="24"/>
      <c r="B843" s="21"/>
      <c r="C843" s="21"/>
    </row>
    <row r="844">
      <c r="A844" s="24"/>
      <c r="B844" s="21"/>
      <c r="C844" s="21"/>
    </row>
    <row r="845">
      <c r="A845" s="24"/>
      <c r="B845" s="21"/>
      <c r="C845" s="21"/>
    </row>
    <row r="846">
      <c r="A846" s="24"/>
      <c r="B846" s="21"/>
      <c r="C846" s="21"/>
    </row>
    <row r="847">
      <c r="A847" s="24"/>
      <c r="B847" s="21"/>
      <c r="C847" s="21"/>
    </row>
    <row r="848">
      <c r="A848" s="24"/>
      <c r="B848" s="21"/>
      <c r="C848" s="21"/>
    </row>
    <row r="849">
      <c r="A849" s="24"/>
      <c r="B849" s="21"/>
      <c r="C849" s="21"/>
    </row>
    <row r="850">
      <c r="A850" s="24"/>
      <c r="B850" s="21"/>
      <c r="C850" s="21"/>
    </row>
    <row r="851">
      <c r="A851" s="24"/>
      <c r="B851" s="21"/>
      <c r="C851" s="21"/>
    </row>
    <row r="852">
      <c r="A852" s="24"/>
      <c r="B852" s="21"/>
      <c r="C852" s="21"/>
    </row>
    <row r="853">
      <c r="A853" s="24"/>
      <c r="B853" s="21"/>
      <c r="C853" s="21"/>
    </row>
    <row r="854">
      <c r="A854" s="24"/>
      <c r="B854" s="21"/>
      <c r="C854" s="21"/>
    </row>
    <row r="855">
      <c r="A855" s="24"/>
      <c r="B855" s="21"/>
      <c r="C855" s="21"/>
    </row>
    <row r="856">
      <c r="A856" s="24"/>
      <c r="B856" s="21"/>
      <c r="C856" s="21"/>
    </row>
    <row r="857">
      <c r="A857" s="24"/>
      <c r="B857" s="21"/>
      <c r="C857" s="21"/>
    </row>
    <row r="858">
      <c r="A858" s="24"/>
      <c r="B858" s="21"/>
      <c r="C858" s="21"/>
    </row>
    <row r="859">
      <c r="A859" s="24"/>
      <c r="B859" s="21"/>
      <c r="C859" s="21"/>
    </row>
    <row r="860">
      <c r="A860" s="24"/>
      <c r="B860" s="21"/>
      <c r="C860" s="21"/>
    </row>
    <row r="861">
      <c r="A861" s="24"/>
      <c r="B861" s="21"/>
      <c r="C861" s="21"/>
    </row>
    <row r="862">
      <c r="A862" s="24"/>
      <c r="B862" s="21"/>
      <c r="C862" s="21"/>
    </row>
    <row r="863">
      <c r="A863" s="24"/>
      <c r="B863" s="21"/>
      <c r="C863" s="21"/>
    </row>
    <row r="864">
      <c r="A864" s="24"/>
      <c r="B864" s="21"/>
      <c r="C864" s="21"/>
    </row>
    <row r="865">
      <c r="A865" s="24"/>
      <c r="B865" s="21"/>
      <c r="C865" s="21"/>
    </row>
    <row r="866">
      <c r="A866" s="24"/>
      <c r="B866" s="21"/>
      <c r="C866" s="21"/>
    </row>
    <row r="867">
      <c r="A867" s="24"/>
      <c r="B867" s="21"/>
      <c r="C867" s="21"/>
    </row>
    <row r="868">
      <c r="A868" s="24"/>
      <c r="B868" s="21"/>
      <c r="C868" s="21"/>
    </row>
    <row r="869">
      <c r="A869" s="24"/>
      <c r="B869" s="21"/>
      <c r="C869" s="21"/>
    </row>
    <row r="870">
      <c r="A870" s="24"/>
      <c r="B870" s="21"/>
      <c r="C870" s="21"/>
    </row>
    <row r="871">
      <c r="A871" s="24"/>
      <c r="B871" s="21"/>
      <c r="C871" s="21"/>
    </row>
    <row r="872">
      <c r="A872" s="24"/>
      <c r="B872" s="21"/>
      <c r="C872" s="21"/>
    </row>
    <row r="873">
      <c r="A873" s="24"/>
      <c r="B873" s="21"/>
      <c r="C873" s="21"/>
    </row>
    <row r="874">
      <c r="A874" s="24"/>
      <c r="B874" s="21"/>
      <c r="C874" s="21"/>
    </row>
    <row r="875">
      <c r="A875" s="24"/>
      <c r="B875" s="21"/>
      <c r="C875" s="21"/>
    </row>
    <row r="876">
      <c r="A876" s="24"/>
      <c r="B876" s="21"/>
      <c r="C876" s="21"/>
    </row>
    <row r="877">
      <c r="A877" s="24"/>
      <c r="B877" s="21"/>
      <c r="C877" s="21"/>
    </row>
    <row r="878">
      <c r="A878" s="24"/>
      <c r="B878" s="21"/>
      <c r="C878" s="21"/>
    </row>
    <row r="879">
      <c r="A879" s="24"/>
      <c r="B879" s="21"/>
      <c r="C879" s="21"/>
    </row>
    <row r="880">
      <c r="A880" s="24"/>
      <c r="B880" s="21"/>
      <c r="C880" s="21"/>
    </row>
    <row r="881">
      <c r="A881" s="24"/>
      <c r="B881" s="21"/>
      <c r="C881" s="21"/>
    </row>
    <row r="882">
      <c r="A882" s="24"/>
      <c r="B882" s="21"/>
      <c r="C882" s="21"/>
    </row>
    <row r="883">
      <c r="A883" s="24"/>
      <c r="B883" s="21"/>
      <c r="C883" s="21"/>
    </row>
    <row r="884">
      <c r="A884" s="24"/>
      <c r="B884" s="21"/>
      <c r="C884" s="21"/>
    </row>
    <row r="885">
      <c r="A885" s="24"/>
      <c r="B885" s="21"/>
      <c r="C885" s="21"/>
    </row>
    <row r="886">
      <c r="A886" s="24"/>
      <c r="B886" s="21"/>
      <c r="C886" s="21"/>
    </row>
    <row r="887">
      <c r="A887" s="24"/>
      <c r="B887" s="21"/>
      <c r="C887" s="21"/>
    </row>
    <row r="888">
      <c r="A888" s="24"/>
      <c r="B888" s="21"/>
      <c r="C888" s="21"/>
    </row>
    <row r="889">
      <c r="A889" s="24"/>
      <c r="B889" s="21"/>
      <c r="C889" s="21"/>
    </row>
    <row r="890">
      <c r="A890" s="24"/>
      <c r="B890" s="21"/>
      <c r="C890" s="21"/>
    </row>
    <row r="891">
      <c r="A891" s="24"/>
      <c r="B891" s="21"/>
      <c r="C891" s="21"/>
    </row>
    <row r="892">
      <c r="A892" s="24"/>
      <c r="B892" s="21"/>
      <c r="C892" s="21"/>
    </row>
    <row r="893">
      <c r="A893" s="24"/>
      <c r="B893" s="21"/>
      <c r="C893" s="21"/>
    </row>
    <row r="894">
      <c r="A894" s="24"/>
      <c r="B894" s="21"/>
      <c r="C894" s="21"/>
    </row>
    <row r="895">
      <c r="A895" s="24"/>
      <c r="B895" s="21"/>
      <c r="C895" s="21"/>
    </row>
    <row r="896">
      <c r="A896" s="24"/>
      <c r="B896" s="21"/>
      <c r="C896" s="21"/>
    </row>
    <row r="897">
      <c r="A897" s="24"/>
      <c r="B897" s="21"/>
      <c r="C897" s="21"/>
    </row>
    <row r="898">
      <c r="A898" s="24"/>
      <c r="B898" s="21"/>
      <c r="C898" s="21"/>
    </row>
    <row r="899">
      <c r="A899" s="24"/>
      <c r="B899" s="21"/>
      <c r="C899" s="21"/>
    </row>
    <row r="900">
      <c r="A900" s="24"/>
      <c r="B900" s="21"/>
      <c r="C900" s="21"/>
    </row>
    <row r="901">
      <c r="A901" s="24"/>
      <c r="B901" s="21"/>
      <c r="C901" s="21"/>
    </row>
    <row r="902">
      <c r="A902" s="24"/>
      <c r="B902" s="21"/>
      <c r="C902" s="21"/>
    </row>
    <row r="903">
      <c r="A903" s="24"/>
      <c r="B903" s="21"/>
      <c r="C903" s="21"/>
    </row>
    <row r="904">
      <c r="A904" s="24"/>
      <c r="B904" s="21"/>
      <c r="C904" s="21"/>
    </row>
    <row r="905">
      <c r="A905" s="24"/>
      <c r="B905" s="21"/>
      <c r="C905" s="21"/>
    </row>
    <row r="906">
      <c r="A906" s="24"/>
      <c r="B906" s="21"/>
      <c r="C906" s="21"/>
    </row>
    <row r="907">
      <c r="A907" s="24"/>
      <c r="B907" s="21"/>
      <c r="C907" s="21"/>
    </row>
    <row r="908">
      <c r="A908" s="24"/>
      <c r="B908" s="21"/>
      <c r="C908" s="21"/>
    </row>
    <row r="909">
      <c r="A909" s="24"/>
      <c r="B909" s="21"/>
      <c r="C909" s="21"/>
    </row>
    <row r="910">
      <c r="A910" s="24"/>
      <c r="B910" s="21"/>
      <c r="C910" s="21"/>
    </row>
    <row r="911">
      <c r="A911" s="24"/>
      <c r="B911" s="21"/>
      <c r="C911" s="21"/>
    </row>
    <row r="912">
      <c r="A912" s="24"/>
      <c r="B912" s="21"/>
      <c r="C912" s="21"/>
    </row>
    <row r="913">
      <c r="A913" s="24"/>
      <c r="B913" s="21"/>
      <c r="C913" s="21"/>
    </row>
    <row r="914">
      <c r="A914" s="24"/>
      <c r="B914" s="21"/>
      <c r="C914" s="21"/>
    </row>
    <row r="915">
      <c r="A915" s="24"/>
      <c r="B915" s="21"/>
      <c r="C915" s="21"/>
    </row>
    <row r="916">
      <c r="A916" s="24"/>
      <c r="B916" s="21"/>
      <c r="C916" s="21"/>
    </row>
    <row r="917">
      <c r="A917" s="24"/>
      <c r="B917" s="21"/>
      <c r="C917" s="21"/>
    </row>
    <row r="918">
      <c r="A918" s="24"/>
      <c r="B918" s="21"/>
      <c r="C918" s="21"/>
    </row>
    <row r="919">
      <c r="A919" s="24"/>
      <c r="B919" s="21"/>
      <c r="C919" s="21"/>
    </row>
    <row r="920">
      <c r="A920" s="24"/>
      <c r="B920" s="21"/>
      <c r="C920" s="21"/>
    </row>
    <row r="921">
      <c r="A921" s="24"/>
      <c r="B921" s="21"/>
      <c r="C921" s="21"/>
    </row>
    <row r="922">
      <c r="A922" s="24"/>
      <c r="B922" s="21"/>
      <c r="C922" s="21"/>
    </row>
    <row r="923">
      <c r="A923" s="24"/>
      <c r="B923" s="21"/>
      <c r="C923" s="21"/>
    </row>
    <row r="924">
      <c r="A924" s="24"/>
      <c r="B924" s="21"/>
      <c r="C924" s="21"/>
    </row>
    <row r="925">
      <c r="A925" s="24"/>
      <c r="B925" s="21"/>
      <c r="C925" s="21"/>
    </row>
    <row r="926">
      <c r="A926" s="24"/>
      <c r="B926" s="21"/>
      <c r="C926" s="21"/>
    </row>
    <row r="927">
      <c r="A927" s="24"/>
      <c r="B927" s="21"/>
      <c r="C927" s="21"/>
    </row>
    <row r="928">
      <c r="A928" s="24"/>
      <c r="B928" s="21"/>
      <c r="C928" s="21"/>
    </row>
    <row r="929">
      <c r="A929" s="24"/>
      <c r="B929" s="21"/>
      <c r="C929" s="21"/>
    </row>
    <row r="930">
      <c r="A930" s="24"/>
      <c r="B930" s="21"/>
      <c r="C930" s="21"/>
    </row>
    <row r="931">
      <c r="A931" s="24"/>
      <c r="B931" s="21"/>
      <c r="C931" s="21"/>
    </row>
    <row r="932">
      <c r="A932" s="24"/>
      <c r="B932" s="21"/>
      <c r="C932" s="21"/>
    </row>
    <row r="933">
      <c r="A933" s="24"/>
      <c r="B933" s="21"/>
      <c r="C933" s="21"/>
    </row>
    <row r="934">
      <c r="A934" s="24"/>
      <c r="B934" s="21"/>
      <c r="C934" s="21"/>
    </row>
    <row r="935">
      <c r="A935" s="24"/>
      <c r="B935" s="21"/>
      <c r="C935" s="21"/>
    </row>
    <row r="936">
      <c r="A936" s="24"/>
      <c r="B936" s="21"/>
      <c r="C936" s="21"/>
    </row>
    <row r="937">
      <c r="A937" s="24"/>
      <c r="B937" s="21"/>
      <c r="C937" s="21"/>
    </row>
    <row r="938">
      <c r="A938" s="24"/>
      <c r="B938" s="21"/>
      <c r="C938" s="21"/>
    </row>
    <row r="939">
      <c r="A939" s="24"/>
      <c r="B939" s="21"/>
      <c r="C939" s="21"/>
    </row>
    <row r="940">
      <c r="A940" s="24"/>
      <c r="B940" s="21"/>
      <c r="C940" s="21"/>
    </row>
    <row r="941">
      <c r="A941" s="24"/>
      <c r="B941" s="21"/>
      <c r="C941" s="21"/>
    </row>
    <row r="942">
      <c r="A942" s="24"/>
      <c r="B942" s="21"/>
      <c r="C942" s="21"/>
    </row>
    <row r="943">
      <c r="A943" s="24"/>
      <c r="B943" s="21"/>
      <c r="C943" s="21"/>
    </row>
    <row r="944">
      <c r="A944" s="24"/>
      <c r="B944" s="21"/>
      <c r="C944" s="21"/>
    </row>
    <row r="945">
      <c r="A945" s="24"/>
      <c r="B945" s="21"/>
      <c r="C945" s="21"/>
    </row>
    <row r="946">
      <c r="A946" s="24"/>
      <c r="B946" s="21"/>
      <c r="C946" s="21"/>
    </row>
    <row r="947">
      <c r="A947" s="24"/>
      <c r="B947" s="21"/>
      <c r="C947" s="21"/>
    </row>
    <row r="948">
      <c r="A948" s="24"/>
      <c r="B948" s="21"/>
      <c r="C948" s="21"/>
    </row>
    <row r="949">
      <c r="A949" s="24"/>
      <c r="B949" s="21"/>
      <c r="C949" s="21"/>
    </row>
    <row r="950">
      <c r="A950" s="24"/>
      <c r="B950" s="21"/>
      <c r="C950" s="21"/>
    </row>
    <row r="951">
      <c r="A951" s="24"/>
      <c r="B951" s="21"/>
      <c r="C951" s="21"/>
    </row>
    <row r="952">
      <c r="A952" s="24"/>
      <c r="B952" s="21"/>
      <c r="C952" s="21"/>
    </row>
    <row r="953">
      <c r="A953" s="24"/>
      <c r="B953" s="21"/>
      <c r="C953" s="21"/>
    </row>
    <row r="954">
      <c r="A954" s="24"/>
      <c r="B954" s="21"/>
      <c r="C954" s="21"/>
    </row>
    <row r="955">
      <c r="A955" s="24"/>
      <c r="B955" s="21"/>
      <c r="C955" s="21"/>
    </row>
    <row r="956">
      <c r="A956" s="24"/>
      <c r="B956" s="21"/>
      <c r="C956" s="21"/>
    </row>
    <row r="957">
      <c r="A957" s="24"/>
      <c r="B957" s="21"/>
      <c r="C957" s="21"/>
    </row>
    <row r="958">
      <c r="A958" s="24"/>
      <c r="B958" s="21"/>
      <c r="C958" s="21"/>
    </row>
    <row r="959">
      <c r="A959" s="24"/>
      <c r="B959" s="21"/>
      <c r="C959" s="21"/>
    </row>
    <row r="960">
      <c r="A960" s="24"/>
      <c r="B960" s="21"/>
      <c r="C960" s="21"/>
    </row>
    <row r="961">
      <c r="A961" s="24"/>
      <c r="B961" s="21"/>
      <c r="C961" s="21"/>
    </row>
    <row r="962">
      <c r="A962" s="24"/>
      <c r="B962" s="21"/>
      <c r="C962" s="21"/>
    </row>
    <row r="963">
      <c r="A963" s="24"/>
      <c r="B963" s="21"/>
      <c r="C963" s="21"/>
    </row>
    <row r="964">
      <c r="A964" s="24"/>
      <c r="B964" s="21"/>
      <c r="C964" s="21"/>
    </row>
    <row r="965">
      <c r="A965" s="24"/>
      <c r="B965" s="21"/>
      <c r="C965" s="21"/>
    </row>
    <row r="966">
      <c r="A966" s="24"/>
      <c r="B966" s="21"/>
      <c r="C966" s="21"/>
    </row>
    <row r="967">
      <c r="A967" s="24"/>
      <c r="B967" s="21"/>
      <c r="C967" s="21"/>
    </row>
    <row r="968">
      <c r="A968" s="24"/>
      <c r="B968" s="21"/>
      <c r="C968" s="21"/>
    </row>
    <row r="969">
      <c r="A969" s="24"/>
      <c r="B969" s="21"/>
      <c r="C969" s="21"/>
    </row>
    <row r="970">
      <c r="A970" s="24"/>
      <c r="B970" s="21"/>
      <c r="C970" s="21"/>
    </row>
    <row r="971">
      <c r="A971" s="24"/>
      <c r="B971" s="21"/>
      <c r="C971" s="21"/>
    </row>
    <row r="972">
      <c r="A972" s="24"/>
      <c r="B972" s="21"/>
      <c r="C972" s="21"/>
    </row>
    <row r="973">
      <c r="A973" s="24"/>
      <c r="B973" s="21"/>
      <c r="C973" s="21"/>
    </row>
    <row r="974">
      <c r="A974" s="24"/>
      <c r="B974" s="21"/>
      <c r="C974" s="21"/>
    </row>
    <row r="975">
      <c r="A975" s="24"/>
      <c r="B975" s="21"/>
      <c r="C975" s="21"/>
    </row>
    <row r="976">
      <c r="A976" s="24"/>
      <c r="B976" s="21"/>
      <c r="C976" s="21"/>
    </row>
    <row r="977">
      <c r="A977" s="24"/>
      <c r="B977" s="21"/>
      <c r="C977" s="21"/>
    </row>
    <row r="978">
      <c r="A978" s="24"/>
      <c r="B978" s="21"/>
      <c r="C978" s="21"/>
    </row>
    <row r="979">
      <c r="A979" s="24"/>
      <c r="B979" s="21"/>
      <c r="C979" s="21"/>
    </row>
    <row r="980">
      <c r="A980" s="24"/>
      <c r="B980" s="21"/>
      <c r="C980" s="21"/>
    </row>
    <row r="981">
      <c r="A981" s="24"/>
      <c r="B981" s="21"/>
      <c r="C981" s="21"/>
    </row>
    <row r="982">
      <c r="A982" s="24"/>
      <c r="B982" s="21"/>
      <c r="C982" s="21"/>
    </row>
    <row r="983">
      <c r="A983" s="24"/>
      <c r="B983" s="21"/>
      <c r="C983" s="21"/>
    </row>
    <row r="984">
      <c r="A984" s="24"/>
      <c r="B984" s="21"/>
      <c r="C984" s="21"/>
    </row>
    <row r="985">
      <c r="A985" s="24"/>
      <c r="B985" s="21"/>
      <c r="C985" s="21"/>
    </row>
    <row r="986">
      <c r="A986" s="24"/>
      <c r="B986" s="21"/>
      <c r="C986" s="21"/>
    </row>
    <row r="987">
      <c r="A987" s="24"/>
      <c r="B987" s="21"/>
      <c r="C987" s="21"/>
    </row>
    <row r="988">
      <c r="A988" s="24"/>
      <c r="B988" s="21"/>
      <c r="C988" s="21"/>
    </row>
    <row r="989">
      <c r="A989" s="24"/>
      <c r="B989" s="21"/>
      <c r="C989" s="21"/>
    </row>
    <row r="990">
      <c r="A990" s="24"/>
      <c r="B990" s="21"/>
      <c r="C990" s="21"/>
    </row>
    <row r="991">
      <c r="A991" s="24"/>
      <c r="B991" s="21"/>
      <c r="C991" s="21"/>
    </row>
    <row r="992">
      <c r="A992" s="24"/>
      <c r="B992" s="21"/>
      <c r="C992" s="21"/>
    </row>
    <row r="993">
      <c r="A993" s="24"/>
      <c r="B993" s="21"/>
      <c r="C993" s="21"/>
    </row>
    <row r="994">
      <c r="A994" s="24"/>
      <c r="B994" s="21"/>
      <c r="C994" s="21"/>
    </row>
    <row r="995">
      <c r="A995" s="24"/>
      <c r="B995" s="21"/>
      <c r="C995" s="21"/>
    </row>
    <row r="996">
      <c r="A996" s="24"/>
      <c r="B996" s="21"/>
      <c r="C996" s="21"/>
    </row>
    <row r="997">
      <c r="A997" s="24"/>
      <c r="B997" s="21"/>
      <c r="C997" s="21"/>
    </row>
    <row r="998">
      <c r="A998" s="24"/>
      <c r="B998" s="21"/>
      <c r="C998" s="21"/>
    </row>
    <row r="999">
      <c r="A999" s="24"/>
      <c r="B999" s="21"/>
      <c r="C999" s="21"/>
    </row>
    <row r="1000">
      <c r="A1000" s="24"/>
      <c r="B1000" s="21"/>
      <c r="C1000" s="21"/>
    </row>
  </sheetData>
  <mergeCells count="4">
    <mergeCell ref="F1:G1"/>
    <mergeCell ref="F2:K2"/>
    <mergeCell ref="I12:J12"/>
    <mergeCell ref="I13:K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63"/>
  </cols>
  <sheetData>
    <row r="1">
      <c r="A1" s="52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46" t="s">
        <v>54</v>
      </c>
      <c r="K1" s="52"/>
      <c r="L1" s="45"/>
      <c r="M1" s="45"/>
      <c r="N1" s="45"/>
      <c r="P1" s="45"/>
    </row>
    <row r="2">
      <c r="A2" s="54">
        <v>46055.0</v>
      </c>
      <c r="B2" s="55">
        <v>6916.64</v>
      </c>
      <c r="C2" s="55">
        <v>6993.08</v>
      </c>
      <c r="D2" s="55">
        <v>6780.13</v>
      </c>
      <c r="E2" s="55">
        <v>6932.3</v>
      </c>
      <c r="F2" s="55">
        <v>6932.3</v>
      </c>
      <c r="G2" s="56">
        <v>3.353826E10</v>
      </c>
      <c r="H2" s="57">
        <f t="array" ref="H2">E2/E3-1</f>
        <v>-0.0009698761931</v>
      </c>
      <c r="K2" s="54"/>
      <c r="L2" s="21"/>
      <c r="M2" s="21"/>
      <c r="N2" s="21"/>
      <c r="P2" s="21"/>
    </row>
    <row r="3">
      <c r="A3" s="54">
        <v>46048.0</v>
      </c>
      <c r="B3" s="55">
        <v>6923.23</v>
      </c>
      <c r="C3" s="55">
        <v>7002.28</v>
      </c>
      <c r="D3" s="55">
        <v>6870.8</v>
      </c>
      <c r="E3" s="55">
        <v>6939.03</v>
      </c>
      <c r="F3" s="55">
        <v>6939.03</v>
      </c>
      <c r="G3" s="56">
        <v>2.938256E10</v>
      </c>
      <c r="H3" s="57">
        <f t="array" ref="H3">E3/E4-1</f>
        <v>0.003386541462</v>
      </c>
      <c r="K3" s="54"/>
      <c r="L3" s="21"/>
      <c r="M3" s="21"/>
      <c r="N3" s="21"/>
      <c r="P3" s="21"/>
    </row>
    <row r="4">
      <c r="A4" s="54">
        <v>46041.0</v>
      </c>
      <c r="B4" s="55">
        <v>6865.24</v>
      </c>
      <c r="C4" s="55">
        <v>6934.75</v>
      </c>
      <c r="D4" s="55">
        <v>6789.05</v>
      </c>
      <c r="E4" s="55">
        <v>6915.61</v>
      </c>
      <c r="F4" s="55">
        <v>6915.61</v>
      </c>
      <c r="G4" s="56">
        <v>2.178453E10</v>
      </c>
      <c r="H4" s="57">
        <f t="array" ref="H4">E4/E5-1</f>
        <v>-0.003515845078</v>
      </c>
      <c r="K4" s="54"/>
      <c r="L4" s="21"/>
      <c r="M4" s="21"/>
      <c r="N4" s="21"/>
      <c r="P4" s="21"/>
    </row>
    <row r="5">
      <c r="A5" s="54">
        <v>46034.0</v>
      </c>
      <c r="B5" s="55">
        <v>6944.12</v>
      </c>
      <c r="C5" s="55">
        <v>6986.33</v>
      </c>
      <c r="D5" s="55">
        <v>6885.74</v>
      </c>
      <c r="E5" s="55">
        <v>6940.01</v>
      </c>
      <c r="F5" s="55">
        <v>6940.01</v>
      </c>
      <c r="G5" s="56">
        <v>2.61122E10</v>
      </c>
      <c r="H5" s="57">
        <f t="array" ref="H5">E5/E6-1</f>
        <v>-0.003771022698</v>
      </c>
      <c r="K5" s="54"/>
      <c r="L5" s="21"/>
      <c r="M5" s="21"/>
      <c r="N5" s="21"/>
      <c r="P5" s="21"/>
    </row>
    <row r="6">
      <c r="A6" s="54">
        <v>46027.0</v>
      </c>
      <c r="B6" s="55">
        <v>6892.19</v>
      </c>
      <c r="C6" s="55">
        <v>6978.36</v>
      </c>
      <c r="D6" s="55">
        <v>6891.56</v>
      </c>
      <c r="E6" s="55">
        <v>6966.28</v>
      </c>
      <c r="F6" s="55">
        <v>6966.28</v>
      </c>
      <c r="G6" s="56">
        <v>2.699319E10</v>
      </c>
      <c r="H6" s="57">
        <f t="array" ref="H6">E6/E7-1</f>
        <v>0.01571924934</v>
      </c>
      <c r="K6" s="54"/>
      <c r="L6" s="21"/>
      <c r="M6" s="21"/>
      <c r="N6" s="21"/>
      <c r="P6" s="21"/>
    </row>
    <row r="7">
      <c r="A7" s="54">
        <v>46020.0</v>
      </c>
      <c r="B7" s="55">
        <v>6903.6</v>
      </c>
      <c r="C7" s="55">
        <v>6920.21</v>
      </c>
      <c r="D7" s="55">
        <v>6824.31</v>
      </c>
      <c r="E7" s="55">
        <v>6858.47</v>
      </c>
      <c r="F7" s="55">
        <v>6858.47</v>
      </c>
      <c r="G7" s="56">
        <v>1.429763E10</v>
      </c>
      <c r="H7" s="57">
        <f t="array" ref="H7">E7/E8-1</f>
        <v>-0.01031322061</v>
      </c>
      <c r="K7" s="54"/>
      <c r="L7" s="21"/>
      <c r="M7" s="21"/>
      <c r="N7" s="21"/>
      <c r="P7" s="21"/>
    </row>
    <row r="8">
      <c r="A8" s="54">
        <v>46013.0</v>
      </c>
      <c r="B8" s="55">
        <v>6865.21</v>
      </c>
      <c r="C8" s="55">
        <v>6945.77</v>
      </c>
      <c r="D8" s="55">
        <v>6855.74</v>
      </c>
      <c r="E8" s="55">
        <v>6929.94</v>
      </c>
      <c r="F8" s="55">
        <v>6929.94</v>
      </c>
      <c r="G8" s="56">
        <v>1.267041E10</v>
      </c>
      <c r="H8" s="57">
        <f t="array" ref="H8">E8/E9-1</f>
        <v>0.01396444509</v>
      </c>
      <c r="K8" s="54"/>
      <c r="L8" s="21"/>
      <c r="M8" s="21"/>
      <c r="N8" s="21"/>
      <c r="P8" s="21"/>
    </row>
    <row r="9">
      <c r="A9" s="54">
        <v>46006.0</v>
      </c>
      <c r="B9" s="55">
        <v>6860.19</v>
      </c>
      <c r="C9" s="55">
        <v>6861.59</v>
      </c>
      <c r="D9" s="55">
        <v>6720.43</v>
      </c>
      <c r="E9" s="55">
        <v>6834.5</v>
      </c>
      <c r="F9" s="55">
        <v>6834.5</v>
      </c>
      <c r="G9" s="56">
        <v>2.873656E10</v>
      </c>
      <c r="H9" s="57">
        <f t="array" ref="H9">E9/E10-1</f>
        <v>0.001038461144</v>
      </c>
      <c r="K9" s="54"/>
      <c r="L9" s="21"/>
      <c r="M9" s="21"/>
      <c r="N9" s="21"/>
      <c r="P9" s="21"/>
    </row>
    <row r="10">
      <c r="A10" s="54">
        <v>45999.0</v>
      </c>
      <c r="B10" s="55">
        <v>6875.2</v>
      </c>
      <c r="C10" s="55">
        <v>6903.46</v>
      </c>
      <c r="D10" s="55">
        <v>6801.79</v>
      </c>
      <c r="E10" s="55">
        <v>6827.41</v>
      </c>
      <c r="F10" s="55">
        <v>6827.41</v>
      </c>
      <c r="G10" s="56">
        <v>2.472297E10</v>
      </c>
      <c r="H10" s="57">
        <f t="array" ref="H10">E10/E11-1</f>
        <v>-0.006257277597</v>
      </c>
      <c r="K10" s="54"/>
      <c r="L10" s="21"/>
      <c r="M10" s="21"/>
      <c r="N10" s="21"/>
      <c r="P10" s="21"/>
    </row>
    <row r="11">
      <c r="A11" s="54">
        <v>45992.0</v>
      </c>
      <c r="B11" s="55">
        <v>6812.3</v>
      </c>
      <c r="C11" s="55">
        <v>6895.78</v>
      </c>
      <c r="D11" s="55">
        <v>6799.94</v>
      </c>
      <c r="E11" s="55">
        <v>6870.4</v>
      </c>
      <c r="F11" s="55">
        <v>6870.4</v>
      </c>
      <c r="G11" s="56">
        <v>2.368544E10</v>
      </c>
      <c r="H11" s="57">
        <f t="array" ref="H11">E11/E12-1</f>
        <v>0.003111362239</v>
      </c>
      <c r="K11" s="54"/>
      <c r="L11" s="21"/>
      <c r="M11" s="21"/>
      <c r="N11" s="21"/>
      <c r="P11" s="21"/>
    </row>
    <row r="12">
      <c r="A12" s="54">
        <v>45985.0</v>
      </c>
      <c r="B12" s="55">
        <v>6636.54</v>
      </c>
      <c r="C12" s="55">
        <v>6850.86</v>
      </c>
      <c r="D12" s="55">
        <v>6630.7</v>
      </c>
      <c r="E12" s="55">
        <v>6849.09</v>
      </c>
      <c r="F12" s="55">
        <v>6849.09</v>
      </c>
      <c r="G12" s="56">
        <v>1.808661E10</v>
      </c>
      <c r="H12" s="57">
        <f t="array" ref="H12">E12/E13-1</f>
        <v>0.0372709939</v>
      </c>
      <c r="K12" s="54"/>
      <c r="L12" s="21"/>
      <c r="M12" s="21"/>
      <c r="N12" s="21"/>
      <c r="P12" s="21"/>
    </row>
    <row r="13">
      <c r="A13" s="54">
        <v>45978.0</v>
      </c>
      <c r="B13" s="55">
        <v>6713.61</v>
      </c>
      <c r="C13" s="55">
        <v>6770.35</v>
      </c>
      <c r="D13" s="55">
        <v>6521.92</v>
      </c>
      <c r="E13" s="55">
        <v>6602.99</v>
      </c>
      <c r="F13" s="55">
        <v>6602.99</v>
      </c>
      <c r="G13" s="56">
        <v>2.691123E10</v>
      </c>
      <c r="H13" s="57">
        <f t="array" ref="H13">E13/E14-1</f>
        <v>-0.01947102141</v>
      </c>
      <c r="K13" s="54"/>
      <c r="L13" s="21"/>
      <c r="M13" s="21"/>
      <c r="N13" s="21"/>
      <c r="P13" s="21"/>
    </row>
    <row r="14">
      <c r="A14" s="54">
        <v>45971.0</v>
      </c>
      <c r="B14" s="55">
        <v>6785.36</v>
      </c>
      <c r="C14" s="55">
        <v>6869.91</v>
      </c>
      <c r="D14" s="55">
        <v>6646.87</v>
      </c>
      <c r="E14" s="55">
        <v>6734.11</v>
      </c>
      <c r="F14" s="55">
        <v>6734.11</v>
      </c>
      <c r="G14" s="56">
        <v>2.615953E10</v>
      </c>
      <c r="H14" s="57">
        <f t="array" ref="H14">E14/E15-1</f>
        <v>0.000789145167</v>
      </c>
      <c r="K14" s="54"/>
      <c r="L14" s="21"/>
      <c r="M14" s="21"/>
      <c r="N14" s="21"/>
      <c r="P14" s="21"/>
    </row>
    <row r="15">
      <c r="A15" s="54">
        <v>45964.0</v>
      </c>
      <c r="B15" s="55">
        <v>6882.32</v>
      </c>
      <c r="C15" s="55">
        <v>6882.32</v>
      </c>
      <c r="D15" s="55">
        <v>6631.44</v>
      </c>
      <c r="E15" s="55">
        <v>6728.8</v>
      </c>
      <c r="F15" s="55">
        <v>6728.8</v>
      </c>
      <c r="G15" s="56">
        <v>2.97228E10</v>
      </c>
      <c r="H15" s="57">
        <f t="array" ref="H15">E15/E16-1</f>
        <v>-0.01628607351</v>
      </c>
      <c r="K15" s="54"/>
      <c r="L15" s="21"/>
      <c r="M15" s="21"/>
      <c r="N15" s="21"/>
      <c r="P15" s="21"/>
    </row>
    <row r="16">
      <c r="A16" s="54">
        <v>45957.0</v>
      </c>
      <c r="B16" s="55">
        <v>6845.46</v>
      </c>
      <c r="C16" s="55">
        <v>6920.34</v>
      </c>
      <c r="D16" s="55">
        <v>6814.26</v>
      </c>
      <c r="E16" s="55">
        <v>6840.2</v>
      </c>
      <c r="F16" s="55">
        <v>6840.2</v>
      </c>
      <c r="G16" s="56">
        <v>2.971769E10</v>
      </c>
      <c r="H16" s="57">
        <f t="array" ref="H16">E16/E17-1</f>
        <v>0.007142552148</v>
      </c>
      <c r="K16" s="54"/>
      <c r="L16" s="21"/>
      <c r="M16" s="21"/>
      <c r="N16" s="21"/>
      <c r="P16" s="21"/>
    </row>
    <row r="17">
      <c r="A17" s="54">
        <v>45950.0</v>
      </c>
      <c r="B17" s="55">
        <v>6690.05</v>
      </c>
      <c r="C17" s="55">
        <v>6807.11</v>
      </c>
      <c r="D17" s="55">
        <v>6655.69</v>
      </c>
      <c r="E17" s="55">
        <v>6791.69</v>
      </c>
      <c r="F17" s="55">
        <v>6791.69</v>
      </c>
      <c r="G17" s="56">
        <v>2.625117E10</v>
      </c>
      <c r="H17" s="57">
        <f t="array" ref="H17">E17/E18-1</f>
        <v>0.01915963511</v>
      </c>
      <c r="K17" s="54"/>
      <c r="L17" s="21"/>
      <c r="M17" s="21"/>
      <c r="N17" s="21"/>
      <c r="P17" s="21"/>
    </row>
    <row r="18">
      <c r="A18" s="54">
        <v>45943.0</v>
      </c>
      <c r="B18" s="55">
        <v>6622.53</v>
      </c>
      <c r="C18" s="55">
        <v>6724.12</v>
      </c>
      <c r="D18" s="55">
        <v>6555.07</v>
      </c>
      <c r="E18" s="55">
        <v>6664.01</v>
      </c>
      <c r="F18" s="55">
        <v>6664.01</v>
      </c>
      <c r="G18" s="56">
        <v>2.801024E10</v>
      </c>
      <c r="H18" s="57">
        <f t="array" ref="H18">E18/E19-1</f>
        <v>0.01701637998</v>
      </c>
      <c r="K18" s="54"/>
      <c r="L18" s="21"/>
      <c r="M18" s="21"/>
      <c r="N18" s="21"/>
      <c r="P18" s="21"/>
    </row>
    <row r="19">
      <c r="A19" s="54">
        <v>45936.0</v>
      </c>
      <c r="B19" s="55">
        <v>6733.86</v>
      </c>
      <c r="C19" s="55">
        <v>6764.58</v>
      </c>
      <c r="D19" s="55">
        <v>6550.78</v>
      </c>
      <c r="E19" s="55">
        <v>6552.51</v>
      </c>
      <c r="F19" s="55">
        <v>6552.51</v>
      </c>
      <c r="G19" s="56">
        <v>2.851537E10</v>
      </c>
      <c r="H19" s="57">
        <f t="array" ref="H19">E19/E20-1</f>
        <v>-0.02431285076</v>
      </c>
      <c r="K19" s="54"/>
      <c r="L19" s="21"/>
      <c r="M19" s="21"/>
      <c r="N19" s="21"/>
      <c r="P19" s="21"/>
    </row>
    <row r="20">
      <c r="A20" s="54">
        <v>45929.0</v>
      </c>
      <c r="B20" s="55">
        <v>6661.58</v>
      </c>
      <c r="C20" s="55">
        <v>6750.87</v>
      </c>
      <c r="D20" s="55">
        <v>6641.0</v>
      </c>
      <c r="E20" s="55">
        <v>6715.79</v>
      </c>
      <c r="F20" s="55">
        <v>6715.79</v>
      </c>
      <c r="G20" s="56">
        <v>2.858316E10</v>
      </c>
      <c r="H20" s="57">
        <f t="array" ref="H20">E20/E21-1</f>
        <v>0.01085088129</v>
      </c>
      <c r="K20" s="54"/>
      <c r="L20" s="21"/>
      <c r="M20" s="21"/>
      <c r="N20" s="21"/>
      <c r="P20" s="21"/>
    </row>
    <row r="21">
      <c r="A21" s="54">
        <v>45922.0</v>
      </c>
      <c r="B21" s="55">
        <v>6654.28</v>
      </c>
      <c r="C21" s="55">
        <v>6699.52</v>
      </c>
      <c r="D21" s="55">
        <v>6569.22</v>
      </c>
      <c r="E21" s="55">
        <v>6643.7</v>
      </c>
      <c r="F21" s="55">
        <v>6643.7</v>
      </c>
      <c r="G21" s="56">
        <v>2.77132E10</v>
      </c>
      <c r="H21" s="57">
        <f t="array" ref="H21">E21/E22-1</f>
        <v>-0.003100072625</v>
      </c>
      <c r="K21" s="54"/>
      <c r="L21" s="21"/>
      <c r="M21" s="21"/>
      <c r="N21" s="21"/>
      <c r="P21" s="21"/>
    </row>
    <row r="22">
      <c r="A22" s="54">
        <v>45915.0</v>
      </c>
      <c r="B22" s="55">
        <v>6603.49</v>
      </c>
      <c r="C22" s="55">
        <v>6671.82</v>
      </c>
      <c r="D22" s="55">
        <v>6551.15</v>
      </c>
      <c r="E22" s="55">
        <v>6664.36</v>
      </c>
      <c r="F22" s="55">
        <v>6664.36</v>
      </c>
      <c r="G22" s="56">
        <v>3.062823E10</v>
      </c>
      <c r="H22" s="57">
        <f t="array" ref="H22">E22/E23-1</f>
        <v>0.01216076449</v>
      </c>
      <c r="K22" s="54"/>
      <c r="L22" s="21"/>
      <c r="M22" s="21"/>
      <c r="N22" s="21"/>
      <c r="P22" s="21"/>
    </row>
    <row r="23">
      <c r="A23" s="54">
        <v>45908.0</v>
      </c>
      <c r="B23" s="55">
        <v>6498.09</v>
      </c>
      <c r="C23" s="55">
        <v>6600.21</v>
      </c>
      <c r="D23" s="55">
        <v>6483.08</v>
      </c>
      <c r="E23" s="55">
        <v>6584.29</v>
      </c>
      <c r="F23" s="55">
        <v>6584.29</v>
      </c>
      <c r="G23" s="56">
        <v>2.533096E10</v>
      </c>
      <c r="H23" s="57">
        <f t="array" ref="H23">E23/E24-1</f>
        <v>0.01585898326</v>
      </c>
      <c r="K23" s="54"/>
      <c r="L23" s="21"/>
      <c r="M23" s="21"/>
      <c r="N23" s="21"/>
      <c r="P23" s="21"/>
    </row>
    <row r="24">
      <c r="A24" s="54">
        <v>45901.0</v>
      </c>
      <c r="B24" s="55">
        <v>6401.51</v>
      </c>
      <c r="C24" s="55">
        <v>6532.65</v>
      </c>
      <c r="D24" s="55">
        <v>6360.58</v>
      </c>
      <c r="E24" s="55">
        <v>6481.5</v>
      </c>
      <c r="F24" s="55">
        <v>6481.5</v>
      </c>
      <c r="G24" s="56">
        <v>1.898625E10</v>
      </c>
      <c r="H24" s="57">
        <f t="array" ref="H24">E24/E25-1</f>
        <v>0.003287793371</v>
      </c>
      <c r="K24" s="54"/>
      <c r="L24" s="21"/>
      <c r="M24" s="21"/>
      <c r="N24" s="21"/>
      <c r="P24" s="21"/>
    </row>
    <row r="25">
      <c r="A25" s="54">
        <v>45894.0</v>
      </c>
      <c r="B25" s="55">
        <v>6457.67</v>
      </c>
      <c r="C25" s="55">
        <v>6508.23</v>
      </c>
      <c r="D25" s="55">
        <v>6429.21</v>
      </c>
      <c r="E25" s="55">
        <v>6460.26</v>
      </c>
      <c r="F25" s="55">
        <v>6460.26</v>
      </c>
      <c r="G25" s="56">
        <v>2.158903E10</v>
      </c>
      <c r="H25" s="57">
        <f t="array" ref="H25">E25/E26-1</f>
        <v>-0.001028311821</v>
      </c>
      <c r="K25" s="54"/>
      <c r="L25" s="21"/>
      <c r="M25" s="21"/>
      <c r="N25" s="21"/>
      <c r="P25" s="21"/>
    </row>
    <row r="26">
      <c r="A26" s="54">
        <v>45887.0</v>
      </c>
      <c r="B26" s="55">
        <v>6445.02</v>
      </c>
      <c r="C26" s="55">
        <v>6478.89</v>
      </c>
      <c r="D26" s="55">
        <v>6343.86</v>
      </c>
      <c r="E26" s="55">
        <v>6466.91</v>
      </c>
      <c r="F26" s="55">
        <v>6466.91</v>
      </c>
      <c r="G26" s="56">
        <v>2.207054E10</v>
      </c>
      <c r="H26" s="57">
        <f t="array" ref="H26">E26/E27-1</f>
        <v>0.002652795436</v>
      </c>
      <c r="K26" s="54"/>
      <c r="L26" s="21"/>
      <c r="M26" s="21"/>
      <c r="N26" s="21"/>
      <c r="P26" s="21"/>
    </row>
    <row r="27">
      <c r="A27" s="54">
        <v>45880.0</v>
      </c>
      <c r="B27" s="55">
        <v>6389.67</v>
      </c>
      <c r="C27" s="55">
        <v>6481.34</v>
      </c>
      <c r="D27" s="55">
        <v>6364.06</v>
      </c>
      <c r="E27" s="55">
        <v>6449.8</v>
      </c>
      <c r="F27" s="55">
        <v>6449.8</v>
      </c>
      <c r="G27" s="56">
        <v>2.402076E10</v>
      </c>
      <c r="H27" s="57">
        <f t="array" ref="H27">E27/E28-1</f>
        <v>0.009445257417</v>
      </c>
      <c r="K27" s="54"/>
      <c r="L27" s="21"/>
      <c r="M27" s="21"/>
      <c r="N27" s="21"/>
      <c r="P27" s="21"/>
    </row>
    <row r="28">
      <c r="A28" s="54">
        <v>45873.0</v>
      </c>
      <c r="B28" s="55">
        <v>6271.71</v>
      </c>
      <c r="C28" s="55">
        <v>6395.16</v>
      </c>
      <c r="D28" s="55">
        <v>6271.71</v>
      </c>
      <c r="E28" s="55">
        <v>6389.45</v>
      </c>
      <c r="F28" s="55">
        <v>6389.45</v>
      </c>
      <c r="G28" s="56">
        <v>2.584455E10</v>
      </c>
      <c r="H28" s="57">
        <f t="array" ref="H28">E28/E29-1</f>
        <v>0.02427697294</v>
      </c>
      <c r="K28" s="54"/>
      <c r="L28" s="21"/>
      <c r="M28" s="21"/>
      <c r="N28" s="21"/>
      <c r="P28" s="21"/>
    </row>
    <row r="29">
      <c r="A29" s="54">
        <v>45866.0</v>
      </c>
      <c r="B29" s="55">
        <v>6397.69</v>
      </c>
      <c r="C29" s="55">
        <v>6427.02</v>
      </c>
      <c r="D29" s="55">
        <v>6212.69</v>
      </c>
      <c r="E29" s="55">
        <v>6238.01</v>
      </c>
      <c r="F29" s="55">
        <v>6238.01</v>
      </c>
      <c r="G29" s="56">
        <v>2.692104E10</v>
      </c>
      <c r="H29" s="57">
        <f t="array" ref="H29">E29/E30-1</f>
        <v>-0.02357778807</v>
      </c>
      <c r="K29" s="54"/>
      <c r="L29" s="21"/>
      <c r="M29" s="21"/>
      <c r="N29" s="21"/>
      <c r="P29" s="21"/>
    </row>
    <row r="30">
      <c r="A30" s="54">
        <v>45859.0</v>
      </c>
      <c r="B30" s="55">
        <v>6304.74</v>
      </c>
      <c r="C30" s="55">
        <v>6395.82</v>
      </c>
      <c r="D30" s="55">
        <v>6281.71</v>
      </c>
      <c r="E30" s="55">
        <v>6388.64</v>
      </c>
      <c r="F30" s="55">
        <v>6388.64</v>
      </c>
      <c r="G30" s="56">
        <v>2.606883E10</v>
      </c>
      <c r="H30" s="57">
        <f t="array" ref="H30">E30/E31-1</f>
        <v>0.0145867974</v>
      </c>
      <c r="K30" s="54"/>
      <c r="L30" s="21"/>
      <c r="M30" s="21"/>
      <c r="N30" s="21"/>
      <c r="P30" s="21"/>
    </row>
    <row r="31">
      <c r="A31" s="54">
        <v>45852.0</v>
      </c>
      <c r="B31" s="55">
        <v>6255.15</v>
      </c>
      <c r="C31" s="55">
        <v>6315.61</v>
      </c>
      <c r="D31" s="55">
        <v>6201.59</v>
      </c>
      <c r="E31" s="55">
        <v>6296.79</v>
      </c>
      <c r="F31" s="55">
        <v>6296.79</v>
      </c>
      <c r="G31" s="56">
        <v>2.573037E10</v>
      </c>
      <c r="H31" s="57">
        <f t="array" ref="H31">E31/E32-1</f>
        <v>0.005917169216</v>
      </c>
      <c r="K31" s="54"/>
      <c r="L31" s="21"/>
      <c r="M31" s="21"/>
      <c r="N31" s="21"/>
      <c r="P31" s="21"/>
    </row>
    <row r="32">
      <c r="A32" s="54">
        <v>45845.0</v>
      </c>
      <c r="B32" s="55">
        <v>6259.04</v>
      </c>
      <c r="C32" s="55">
        <v>6290.22</v>
      </c>
      <c r="D32" s="55">
        <v>6201.0</v>
      </c>
      <c r="E32" s="55">
        <v>6259.75</v>
      </c>
      <c r="F32" s="55">
        <v>6259.75</v>
      </c>
      <c r="G32" s="56">
        <v>2.581267E10</v>
      </c>
      <c r="H32" s="57">
        <f t="array" ref="H32">E32/E33-1</f>
        <v>-0.003121342177</v>
      </c>
      <c r="K32" s="54"/>
      <c r="L32" s="21"/>
      <c r="M32" s="21"/>
      <c r="N32" s="21"/>
      <c r="P32" s="21"/>
    </row>
    <row r="33">
      <c r="A33" s="54">
        <v>45838.0</v>
      </c>
      <c r="B33" s="55">
        <v>6193.36</v>
      </c>
      <c r="C33" s="55">
        <v>6284.65</v>
      </c>
      <c r="D33" s="55">
        <v>6174.97</v>
      </c>
      <c r="E33" s="55">
        <v>6279.35</v>
      </c>
      <c r="F33" s="55">
        <v>6279.35</v>
      </c>
      <c r="G33" s="56">
        <v>2.108203E10</v>
      </c>
      <c r="H33" s="57">
        <f t="array" ref="H33">E33/E34-1</f>
        <v>0.01721671713</v>
      </c>
      <c r="K33" s="54"/>
      <c r="L33" s="21"/>
      <c r="M33" s="21"/>
      <c r="N33" s="21"/>
      <c r="P33" s="21"/>
    </row>
    <row r="34">
      <c r="A34" s="54">
        <v>45831.0</v>
      </c>
      <c r="B34" s="55">
        <v>5969.67</v>
      </c>
      <c r="C34" s="55">
        <v>6187.68</v>
      </c>
      <c r="D34" s="55">
        <v>5943.23</v>
      </c>
      <c r="E34" s="55">
        <v>6173.07</v>
      </c>
      <c r="F34" s="55">
        <v>6173.07</v>
      </c>
      <c r="G34" s="56">
        <v>2.940929E10</v>
      </c>
      <c r="H34" s="57">
        <f t="array" ref="H34">E34/E35-1</f>
        <v>0.03438932679</v>
      </c>
      <c r="K34" s="54"/>
      <c r="L34" s="21"/>
      <c r="M34" s="21"/>
      <c r="N34" s="21"/>
      <c r="P34" s="21"/>
    </row>
    <row r="35">
      <c r="A35" s="54">
        <v>45824.0</v>
      </c>
      <c r="B35" s="55">
        <v>6004.0</v>
      </c>
      <c r="C35" s="55">
        <v>6050.83</v>
      </c>
      <c r="D35" s="55">
        <v>5952.56</v>
      </c>
      <c r="E35" s="55">
        <v>5967.84</v>
      </c>
      <c r="F35" s="55">
        <v>5967.84</v>
      </c>
      <c r="G35" s="56">
        <v>2.262538E10</v>
      </c>
      <c r="H35" s="57">
        <f t="array" ref="H35">E35/E36-1</f>
        <v>-0.001527529835</v>
      </c>
      <c r="K35" s="54"/>
      <c r="L35" s="21"/>
      <c r="M35" s="21"/>
      <c r="N35" s="21"/>
      <c r="P35" s="21"/>
    </row>
    <row r="36">
      <c r="A36" s="54">
        <v>45817.0</v>
      </c>
      <c r="B36" s="55">
        <v>6004.63</v>
      </c>
      <c r="C36" s="55">
        <v>6059.4</v>
      </c>
      <c r="D36" s="55">
        <v>5963.21</v>
      </c>
      <c r="E36" s="55">
        <v>5976.97</v>
      </c>
      <c r="F36" s="55">
        <v>5976.97</v>
      </c>
      <c r="G36" s="56">
        <v>2.45652E10</v>
      </c>
      <c r="H36" s="57">
        <f t="array" ref="H36">E36/E37-1</f>
        <v>-0.003898099447</v>
      </c>
      <c r="K36" s="54"/>
      <c r="L36" s="21"/>
      <c r="M36" s="21"/>
      <c r="N36" s="21"/>
      <c r="P36" s="21"/>
    </row>
    <row r="37">
      <c r="A37" s="54">
        <v>45810.0</v>
      </c>
      <c r="B37" s="55">
        <v>5896.68</v>
      </c>
      <c r="C37" s="55">
        <v>6016.87</v>
      </c>
      <c r="D37" s="55">
        <v>5861.43</v>
      </c>
      <c r="E37" s="55">
        <v>6000.36</v>
      </c>
      <c r="F37" s="55">
        <v>6000.36</v>
      </c>
      <c r="G37" s="56">
        <v>2.407353E10</v>
      </c>
      <c r="H37" s="57">
        <f t="array" ref="H37">E37/E38-1</f>
        <v>0.01499909501</v>
      </c>
      <c r="K37" s="54"/>
      <c r="L37" s="21"/>
      <c r="M37" s="21"/>
      <c r="N37" s="21"/>
      <c r="P37" s="21"/>
    </row>
    <row r="38">
      <c r="A38" s="54">
        <v>45803.0</v>
      </c>
      <c r="B38" s="55">
        <v>5854.07</v>
      </c>
      <c r="C38" s="55">
        <v>5943.13</v>
      </c>
      <c r="D38" s="55">
        <v>5843.66</v>
      </c>
      <c r="E38" s="55">
        <v>5911.69</v>
      </c>
      <c r="F38" s="55">
        <v>5911.69</v>
      </c>
      <c r="G38" s="56">
        <v>2.097972E10</v>
      </c>
      <c r="H38" s="57">
        <f t="array" ref="H38">E38/E39-1</f>
        <v>0.01876156765</v>
      </c>
      <c r="K38" s="54"/>
      <c r="L38" s="21"/>
      <c r="M38" s="21"/>
      <c r="N38" s="21"/>
      <c r="P38" s="21"/>
    </row>
    <row r="39">
      <c r="A39" s="54">
        <v>45796.0</v>
      </c>
      <c r="B39" s="55">
        <v>5902.88</v>
      </c>
      <c r="C39" s="55">
        <v>5968.61</v>
      </c>
      <c r="D39" s="55">
        <v>5767.41</v>
      </c>
      <c r="E39" s="55">
        <v>5802.82</v>
      </c>
      <c r="F39" s="55">
        <v>5802.82</v>
      </c>
      <c r="G39" s="56">
        <v>2.363498E10</v>
      </c>
      <c r="H39" s="57">
        <f t="array" ref="H39">E39/E40-1</f>
        <v>-0.02610776755</v>
      </c>
      <c r="K39" s="54"/>
      <c r="L39" s="21"/>
      <c r="M39" s="21"/>
      <c r="N39" s="21"/>
      <c r="P39" s="21"/>
    </row>
    <row r="40">
      <c r="A40" s="54">
        <v>45789.0</v>
      </c>
      <c r="B40" s="55">
        <v>5807.2</v>
      </c>
      <c r="C40" s="55">
        <v>5958.62</v>
      </c>
      <c r="D40" s="55">
        <v>5786.08</v>
      </c>
      <c r="E40" s="55">
        <v>5958.38</v>
      </c>
      <c r="F40" s="55">
        <v>5958.38</v>
      </c>
      <c r="G40" s="56">
        <v>2.660646E10</v>
      </c>
      <c r="H40" s="57">
        <f t="array" ref="H40">E40/E41-1</f>
        <v>0.05273405408</v>
      </c>
      <c r="K40" s="54"/>
      <c r="L40" s="21"/>
      <c r="M40" s="21"/>
      <c r="N40" s="21"/>
      <c r="P40" s="21"/>
    </row>
    <row r="41">
      <c r="A41" s="54">
        <v>45782.0</v>
      </c>
      <c r="B41" s="55">
        <v>5655.32</v>
      </c>
      <c r="C41" s="55">
        <v>5720.1</v>
      </c>
      <c r="D41" s="55">
        <v>5578.64</v>
      </c>
      <c r="E41" s="55">
        <v>5659.91</v>
      </c>
      <c r="F41" s="55">
        <v>5659.91</v>
      </c>
      <c r="G41" s="56">
        <v>2.433545E10</v>
      </c>
      <c r="H41" s="57">
        <f t="array" ref="H41">E41/E42-1</f>
        <v>-0.004705741673</v>
      </c>
      <c r="K41" s="54"/>
      <c r="L41" s="21"/>
      <c r="M41" s="21"/>
      <c r="N41" s="21"/>
      <c r="P41" s="21"/>
    </row>
    <row r="42">
      <c r="A42" s="54">
        <v>45775.0</v>
      </c>
      <c r="B42" s="55">
        <v>5529.22</v>
      </c>
      <c r="C42" s="55">
        <v>5700.7</v>
      </c>
      <c r="D42" s="55">
        <v>5433.24</v>
      </c>
      <c r="E42" s="55">
        <v>5686.67</v>
      </c>
      <c r="F42" s="55">
        <v>5686.67</v>
      </c>
      <c r="G42" s="56">
        <v>2.424417E10</v>
      </c>
      <c r="H42" s="57">
        <f t="array" ref="H42">E42/E43-1</f>
        <v>0.0292224187</v>
      </c>
      <c r="K42" s="54"/>
      <c r="L42" s="21"/>
      <c r="M42" s="21"/>
      <c r="N42" s="21"/>
      <c r="P42" s="21"/>
    </row>
    <row r="43">
      <c r="A43" s="54">
        <v>45768.0</v>
      </c>
      <c r="B43" s="55">
        <v>5232.94</v>
      </c>
      <c r="C43" s="55">
        <v>5528.11</v>
      </c>
      <c r="D43" s="55">
        <v>5101.63</v>
      </c>
      <c r="E43" s="55">
        <v>5525.21</v>
      </c>
      <c r="F43" s="55">
        <v>5525.21</v>
      </c>
      <c r="G43" s="56">
        <v>2.319897E10</v>
      </c>
      <c r="H43" s="57">
        <f t="array" ref="H43">E43/E44-1</f>
        <v>0.04590644935</v>
      </c>
      <c r="K43" s="54"/>
      <c r="L43" s="21"/>
      <c r="M43" s="21"/>
      <c r="N43" s="21"/>
      <c r="P43" s="21"/>
    </row>
    <row r="44">
      <c r="A44" s="54">
        <v>45761.0</v>
      </c>
      <c r="B44" s="55">
        <v>5441.96</v>
      </c>
      <c r="C44" s="55">
        <v>5459.46</v>
      </c>
      <c r="D44" s="55">
        <v>5220.79</v>
      </c>
      <c r="E44" s="55">
        <v>5282.7</v>
      </c>
      <c r="F44" s="55">
        <v>5282.7</v>
      </c>
      <c r="G44" s="56">
        <v>1.867118E10</v>
      </c>
      <c r="H44" s="57">
        <f t="array" ref="H44">E44/E45-1</f>
        <v>-0.01503907998</v>
      </c>
      <c r="K44" s="54"/>
      <c r="L44" s="21"/>
      <c r="M44" s="21"/>
      <c r="N44" s="21"/>
      <c r="P44" s="21"/>
    </row>
    <row r="45">
      <c r="A45" s="54">
        <v>45754.0</v>
      </c>
      <c r="B45" s="55">
        <v>4953.79</v>
      </c>
      <c r="C45" s="55">
        <v>5481.34</v>
      </c>
      <c r="D45" s="55">
        <v>4835.04</v>
      </c>
      <c r="E45" s="55">
        <v>5363.36</v>
      </c>
      <c r="F45" s="55">
        <v>5363.36</v>
      </c>
      <c r="G45" s="56">
        <v>3.786941E10</v>
      </c>
      <c r="H45" s="57">
        <f t="array" ref="H45">E45/E46-1</f>
        <v>0.05701132028</v>
      </c>
      <c r="K45" s="54"/>
      <c r="L45" s="21"/>
      <c r="M45" s="21"/>
      <c r="N45" s="21"/>
      <c r="P45" s="21"/>
    </row>
    <row r="46">
      <c r="A46" s="54">
        <v>45747.0</v>
      </c>
      <c r="B46" s="55">
        <v>5527.91</v>
      </c>
      <c r="C46" s="55">
        <v>5695.31</v>
      </c>
      <c r="D46" s="55">
        <v>5069.9</v>
      </c>
      <c r="E46" s="55">
        <v>5074.08</v>
      </c>
      <c r="F46" s="55">
        <v>5074.08</v>
      </c>
      <c r="G46" s="56">
        <v>2.999955E10</v>
      </c>
      <c r="H46" s="57">
        <f t="array" ref="H46">E46/E47-1</f>
        <v>-0.09081982605</v>
      </c>
      <c r="K46" s="54"/>
      <c r="L46" s="21"/>
      <c r="M46" s="21"/>
      <c r="N46" s="21"/>
      <c r="P46" s="21"/>
    </row>
    <row r="47">
      <c r="A47" s="54">
        <v>45740.0</v>
      </c>
      <c r="B47" s="55">
        <v>5718.08</v>
      </c>
      <c r="C47" s="55">
        <v>5786.95</v>
      </c>
      <c r="D47" s="55">
        <v>5572.42</v>
      </c>
      <c r="E47" s="55">
        <v>5580.94</v>
      </c>
      <c r="F47" s="55">
        <v>5580.94</v>
      </c>
      <c r="G47" s="56">
        <v>2.208526E10</v>
      </c>
      <c r="H47" s="57">
        <f t="array" ref="H47">E47/E48-1</f>
        <v>-0.01528347296</v>
      </c>
      <c r="K47" s="54"/>
      <c r="L47" s="21"/>
      <c r="M47" s="21"/>
      <c r="N47" s="21"/>
      <c r="P47" s="21"/>
    </row>
    <row r="48">
      <c r="A48" s="54">
        <v>45733.0</v>
      </c>
      <c r="B48" s="55">
        <v>5635.6</v>
      </c>
      <c r="C48" s="55">
        <v>5715.33</v>
      </c>
      <c r="D48" s="55">
        <v>5597.76</v>
      </c>
      <c r="E48" s="55">
        <v>5667.56</v>
      </c>
      <c r="F48" s="55">
        <v>5667.56</v>
      </c>
      <c r="G48" s="56">
        <v>2.840401E10</v>
      </c>
      <c r="H48" s="57">
        <f t="array" ref="H48">E48/E49-1</f>
        <v>0.005075421976</v>
      </c>
      <c r="K48" s="54"/>
      <c r="L48" s="21"/>
      <c r="M48" s="21"/>
      <c r="N48" s="21"/>
      <c r="P48" s="21"/>
    </row>
    <row r="49">
      <c r="A49" s="54">
        <v>45726.0</v>
      </c>
      <c r="B49" s="55">
        <v>5705.37</v>
      </c>
      <c r="C49" s="55">
        <v>5705.37</v>
      </c>
      <c r="D49" s="55">
        <v>5504.65</v>
      </c>
      <c r="E49" s="55">
        <v>5638.94</v>
      </c>
      <c r="F49" s="55">
        <v>5638.94</v>
      </c>
      <c r="G49" s="56">
        <v>2.77326E10</v>
      </c>
      <c r="H49" s="57">
        <f t="array" ref="H49">E49/E50-1</f>
        <v>-0.02274791168</v>
      </c>
      <c r="K49" s="54"/>
      <c r="L49" s="21"/>
      <c r="M49" s="21"/>
      <c r="N49" s="21"/>
      <c r="P49" s="21"/>
    </row>
    <row r="50">
      <c r="A50" s="54">
        <v>45719.0</v>
      </c>
      <c r="B50" s="55">
        <v>5968.33</v>
      </c>
      <c r="C50" s="55">
        <v>5986.09</v>
      </c>
      <c r="D50" s="55">
        <v>5666.29</v>
      </c>
      <c r="E50" s="55">
        <v>5770.2</v>
      </c>
      <c r="F50" s="55">
        <v>5770.2</v>
      </c>
      <c r="G50" s="56">
        <v>2.790815E10</v>
      </c>
      <c r="H50" s="57">
        <f t="array" ref="H50">E50/E51-1</f>
        <v>-0.03095138131</v>
      </c>
      <c r="K50" s="54"/>
      <c r="L50" s="21"/>
      <c r="M50" s="21"/>
      <c r="N50" s="21"/>
      <c r="P50" s="21"/>
    </row>
    <row r="51">
      <c r="A51" s="54">
        <v>45712.0</v>
      </c>
      <c r="B51" s="55">
        <v>6026.69</v>
      </c>
      <c r="C51" s="55">
        <v>6043.65</v>
      </c>
      <c r="D51" s="55">
        <v>5837.66</v>
      </c>
      <c r="E51" s="55">
        <v>5954.5</v>
      </c>
      <c r="F51" s="55">
        <v>5954.5</v>
      </c>
      <c r="G51" s="56">
        <v>2.673321E10</v>
      </c>
      <c r="H51" s="57">
        <f t="array" ref="H51">E51/E52-1</f>
        <v>-0.009750329695</v>
      </c>
      <c r="K51" s="54"/>
      <c r="L51" s="21"/>
      <c r="M51" s="21"/>
      <c r="N51" s="21"/>
      <c r="P51" s="21"/>
    </row>
    <row r="52">
      <c r="A52" s="54">
        <v>45705.0</v>
      </c>
      <c r="B52" s="55">
        <v>6121.6</v>
      </c>
      <c r="C52" s="55">
        <v>6147.43</v>
      </c>
      <c r="D52" s="55">
        <v>6008.56</v>
      </c>
      <c r="E52" s="55">
        <v>6013.13</v>
      </c>
      <c r="F52" s="55">
        <v>6013.13</v>
      </c>
      <c r="G52" s="56">
        <v>1.949556E10</v>
      </c>
      <c r="H52" s="57">
        <f t="array" ref="H52">E52/E53-1</f>
        <v>-0.0165995326</v>
      </c>
      <c r="K52" s="54"/>
      <c r="L52" s="21"/>
      <c r="M52" s="21"/>
      <c r="N52" s="21"/>
      <c r="P52" s="21"/>
    </row>
    <row r="53">
      <c r="A53" s="54">
        <v>45698.0</v>
      </c>
      <c r="B53" s="55">
        <v>6046.4</v>
      </c>
      <c r="C53" s="55">
        <v>6127.47</v>
      </c>
      <c r="D53" s="55">
        <v>6003.0</v>
      </c>
      <c r="E53" s="55">
        <v>6114.63</v>
      </c>
      <c r="F53" s="55">
        <v>6114.63</v>
      </c>
      <c r="G53" s="56">
        <v>2.251059E10</v>
      </c>
      <c r="H53" s="57">
        <f t="array" ref="H53">E53/E54-1</f>
        <v>0.01470961618</v>
      </c>
      <c r="K53" s="54"/>
      <c r="L53" s="21"/>
      <c r="M53" s="21"/>
      <c r="N53" s="21"/>
      <c r="P53" s="21"/>
    </row>
    <row r="54">
      <c r="A54" s="54">
        <v>45691.0</v>
      </c>
      <c r="B54" s="55">
        <v>5969.65</v>
      </c>
      <c r="C54" s="55">
        <v>6101.28</v>
      </c>
      <c r="D54" s="55">
        <v>5923.93</v>
      </c>
      <c r="E54" s="55">
        <v>6025.99</v>
      </c>
      <c r="F54" s="55">
        <v>6025.99</v>
      </c>
      <c r="G54" s="56">
        <v>2.357764E10</v>
      </c>
      <c r="L54" s="21"/>
      <c r="M54" s="21"/>
      <c r="N54" s="21"/>
      <c r="P54" s="21"/>
    </row>
    <row r="55">
      <c r="A55" s="58"/>
      <c r="L55" s="21"/>
      <c r="M55" s="21"/>
      <c r="N55" s="21"/>
      <c r="P55" s="21"/>
    </row>
    <row r="56">
      <c r="A56" s="58"/>
      <c r="L56" s="21"/>
      <c r="M56" s="21"/>
      <c r="N56" s="21"/>
      <c r="P56" s="21"/>
    </row>
    <row r="57">
      <c r="A57" s="58"/>
      <c r="L57" s="21"/>
      <c r="M57" s="21"/>
      <c r="N57" s="21"/>
      <c r="P57" s="21"/>
    </row>
    <row r="58">
      <c r="A58" s="58"/>
      <c r="L58" s="21"/>
      <c r="M58" s="21"/>
      <c r="N58" s="21"/>
      <c r="P58" s="21"/>
    </row>
    <row r="59">
      <c r="A59" s="58"/>
      <c r="L59" s="21"/>
      <c r="M59" s="21"/>
      <c r="N59" s="21"/>
      <c r="P59" s="21"/>
    </row>
    <row r="60">
      <c r="A60" s="58"/>
      <c r="L60" s="21"/>
      <c r="M60" s="21"/>
      <c r="N60" s="21"/>
      <c r="P60" s="21"/>
    </row>
    <row r="61">
      <c r="A61" s="58"/>
      <c r="L61" s="21"/>
      <c r="M61" s="21"/>
      <c r="N61" s="21"/>
      <c r="P61" s="21"/>
    </row>
    <row r="62">
      <c r="A62" s="58"/>
      <c r="L62" s="21"/>
      <c r="M62" s="21"/>
      <c r="N62" s="21"/>
      <c r="P62" s="21"/>
    </row>
    <row r="63">
      <c r="A63" s="58"/>
      <c r="L63" s="21"/>
      <c r="M63" s="21"/>
      <c r="N63" s="21"/>
      <c r="P63" s="21"/>
    </row>
    <row r="64">
      <c r="A64" s="58"/>
      <c r="L64" s="21"/>
      <c r="M64" s="21"/>
      <c r="N64" s="21"/>
      <c r="P64" s="21"/>
    </row>
    <row r="65">
      <c r="A65" s="58"/>
      <c r="L65" s="21"/>
      <c r="M65" s="21"/>
      <c r="N65" s="21"/>
      <c r="P65" s="21"/>
    </row>
    <row r="66">
      <c r="A66" s="58"/>
      <c r="L66" s="21"/>
      <c r="M66" s="21"/>
      <c r="N66" s="21"/>
      <c r="P66" s="21"/>
    </row>
    <row r="67">
      <c r="A67" s="58"/>
      <c r="L67" s="21"/>
      <c r="M67" s="21"/>
      <c r="N67" s="21"/>
      <c r="P67" s="21"/>
    </row>
    <row r="68">
      <c r="A68" s="58"/>
      <c r="L68" s="21"/>
      <c r="M68" s="21"/>
      <c r="N68" s="21"/>
      <c r="P68" s="21"/>
    </row>
    <row r="69">
      <c r="A69" s="58"/>
      <c r="L69" s="21"/>
      <c r="M69" s="21"/>
      <c r="N69" s="21"/>
      <c r="P69" s="21"/>
    </row>
    <row r="70">
      <c r="A70" s="58"/>
      <c r="L70" s="21"/>
      <c r="M70" s="21"/>
      <c r="N70" s="21"/>
      <c r="P70" s="21"/>
    </row>
    <row r="71">
      <c r="A71" s="58"/>
      <c r="L71" s="21"/>
      <c r="M71" s="21"/>
      <c r="N71" s="21"/>
      <c r="P71" s="21"/>
    </row>
    <row r="72">
      <c r="A72" s="58"/>
      <c r="L72" s="21"/>
      <c r="M72" s="21"/>
      <c r="N72" s="21"/>
      <c r="P72" s="21"/>
    </row>
    <row r="73">
      <c r="A73" s="58"/>
      <c r="L73" s="21"/>
      <c r="M73" s="21"/>
      <c r="N73" s="21"/>
      <c r="P73" s="21"/>
    </row>
    <row r="74">
      <c r="A74" s="58"/>
      <c r="L74" s="21"/>
      <c r="M74" s="21"/>
      <c r="N74" s="21"/>
      <c r="P74" s="21"/>
    </row>
    <row r="75">
      <c r="A75" s="58"/>
      <c r="L75" s="21"/>
      <c r="M75" s="21"/>
      <c r="N75" s="21"/>
      <c r="P75" s="21"/>
    </row>
    <row r="76">
      <c r="A76" s="58"/>
      <c r="L76" s="21"/>
      <c r="M76" s="21"/>
      <c r="N76" s="21"/>
      <c r="P76" s="21"/>
    </row>
    <row r="77">
      <c r="A77" s="58"/>
      <c r="L77" s="21"/>
      <c r="M77" s="21"/>
      <c r="N77" s="21"/>
      <c r="P77" s="21"/>
    </row>
    <row r="78">
      <c r="A78" s="58"/>
      <c r="L78" s="21"/>
      <c r="M78" s="21"/>
      <c r="N78" s="21"/>
      <c r="P78" s="21"/>
    </row>
    <row r="79">
      <c r="A79" s="58"/>
      <c r="L79" s="21"/>
      <c r="M79" s="21"/>
      <c r="N79" s="21"/>
      <c r="P79" s="21"/>
    </row>
    <row r="80">
      <c r="A80" s="58"/>
      <c r="L80" s="21"/>
      <c r="M80" s="21"/>
      <c r="N80" s="21"/>
      <c r="P80" s="21"/>
    </row>
    <row r="81">
      <c r="A81" s="58"/>
      <c r="L81" s="21"/>
      <c r="M81" s="21"/>
      <c r="N81" s="21"/>
      <c r="P81" s="21"/>
    </row>
    <row r="82">
      <c r="A82" s="58"/>
      <c r="L82" s="21"/>
      <c r="M82" s="21"/>
      <c r="N82" s="21"/>
      <c r="P82" s="21"/>
    </row>
    <row r="83">
      <c r="A83" s="58"/>
      <c r="L83" s="21"/>
      <c r="M83" s="21"/>
      <c r="N83" s="21"/>
      <c r="P83" s="21"/>
    </row>
    <row r="84">
      <c r="A84" s="58"/>
      <c r="L84" s="21"/>
      <c r="M84" s="21"/>
      <c r="N84" s="21"/>
      <c r="P84" s="21"/>
    </row>
    <row r="85">
      <c r="A85" s="58"/>
      <c r="L85" s="21"/>
      <c r="M85" s="21"/>
      <c r="N85" s="21"/>
      <c r="P85" s="21"/>
    </row>
    <row r="86">
      <c r="A86" s="58"/>
      <c r="L86" s="21"/>
      <c r="M86" s="21"/>
      <c r="N86" s="21"/>
      <c r="P86" s="21"/>
    </row>
    <row r="87">
      <c r="A87" s="58"/>
      <c r="L87" s="21"/>
      <c r="M87" s="21"/>
      <c r="N87" s="21"/>
      <c r="P87" s="21"/>
    </row>
    <row r="88">
      <c r="A88" s="58"/>
      <c r="L88" s="21"/>
      <c r="M88" s="21"/>
      <c r="N88" s="21"/>
      <c r="P88" s="21"/>
    </row>
    <row r="89">
      <c r="A89" s="58"/>
      <c r="L89" s="21"/>
      <c r="M89" s="21"/>
      <c r="N89" s="21"/>
      <c r="P89" s="21"/>
    </row>
    <row r="90">
      <c r="A90" s="58"/>
      <c r="L90" s="21"/>
      <c r="M90" s="21"/>
      <c r="N90" s="21"/>
      <c r="P90" s="21"/>
    </row>
    <row r="91">
      <c r="A91" s="58"/>
      <c r="L91" s="21"/>
      <c r="M91" s="21"/>
      <c r="N91" s="21"/>
      <c r="P91" s="21"/>
    </row>
    <row r="92">
      <c r="A92" s="58"/>
      <c r="L92" s="21"/>
      <c r="M92" s="21"/>
      <c r="N92" s="21"/>
      <c r="P92" s="21"/>
    </row>
    <row r="93">
      <c r="A93" s="58"/>
      <c r="L93" s="21"/>
      <c r="M93" s="21"/>
      <c r="N93" s="21"/>
      <c r="P93" s="21"/>
    </row>
    <row r="94">
      <c r="A94" s="58"/>
      <c r="L94" s="21"/>
      <c r="M94" s="21"/>
      <c r="N94" s="21"/>
      <c r="P94" s="21"/>
    </row>
    <row r="95">
      <c r="A95" s="58"/>
      <c r="L95" s="21"/>
      <c r="M95" s="21"/>
      <c r="N95" s="21"/>
      <c r="P95" s="21"/>
    </row>
    <row r="96">
      <c r="A96" s="58"/>
      <c r="L96" s="21"/>
      <c r="M96" s="21"/>
      <c r="N96" s="21"/>
      <c r="P96" s="21"/>
    </row>
    <row r="97">
      <c r="A97" s="58"/>
      <c r="L97" s="21"/>
      <c r="M97" s="21"/>
      <c r="N97" s="21"/>
      <c r="P97" s="21"/>
    </row>
    <row r="98">
      <c r="A98" s="58"/>
      <c r="L98" s="21"/>
      <c r="M98" s="21"/>
      <c r="N98" s="21"/>
      <c r="P98" s="21"/>
    </row>
    <row r="99">
      <c r="A99" s="58"/>
      <c r="L99" s="21"/>
      <c r="M99" s="21"/>
      <c r="N99" s="21"/>
      <c r="P99" s="21"/>
    </row>
    <row r="100">
      <c r="A100" s="58"/>
      <c r="L100" s="21"/>
      <c r="M100" s="21"/>
      <c r="N100" s="21"/>
      <c r="P100" s="21"/>
    </row>
    <row r="101">
      <c r="A101" s="58"/>
      <c r="L101" s="21"/>
      <c r="M101" s="21"/>
      <c r="N101" s="21"/>
      <c r="P101" s="21"/>
    </row>
    <row r="102">
      <c r="A102" s="58"/>
      <c r="L102" s="21"/>
      <c r="M102" s="21"/>
      <c r="N102" s="21"/>
      <c r="P102" s="21"/>
    </row>
    <row r="103">
      <c r="A103" s="58"/>
      <c r="L103" s="21"/>
      <c r="M103" s="21"/>
      <c r="N103" s="21"/>
      <c r="P103" s="21"/>
    </row>
    <row r="104">
      <c r="A104" s="58"/>
      <c r="L104" s="21"/>
      <c r="M104" s="21"/>
      <c r="N104" s="21"/>
      <c r="P104" s="21"/>
    </row>
    <row r="105">
      <c r="A105" s="58"/>
      <c r="L105" s="21"/>
      <c r="M105" s="21"/>
      <c r="N105" s="21"/>
      <c r="P105" s="21"/>
    </row>
    <row r="106">
      <c r="A106" s="58"/>
      <c r="L106" s="21"/>
      <c r="M106" s="21"/>
      <c r="N106" s="21"/>
      <c r="P106" s="21"/>
    </row>
    <row r="107">
      <c r="A107" s="58"/>
      <c r="L107" s="21"/>
      <c r="M107" s="21"/>
      <c r="N107" s="21"/>
      <c r="P107" s="21"/>
    </row>
    <row r="108">
      <c r="A108" s="58"/>
      <c r="L108" s="21"/>
      <c r="M108" s="21"/>
      <c r="N108" s="21"/>
      <c r="P108" s="21"/>
    </row>
    <row r="109">
      <c r="A109" s="58"/>
      <c r="L109" s="21"/>
      <c r="M109" s="21"/>
      <c r="N109" s="21"/>
      <c r="P109" s="21"/>
    </row>
    <row r="110">
      <c r="A110" s="58"/>
      <c r="L110" s="21"/>
      <c r="M110" s="21"/>
      <c r="N110" s="21"/>
      <c r="P110" s="21"/>
    </row>
    <row r="111">
      <c r="A111" s="58"/>
      <c r="L111" s="21"/>
      <c r="M111" s="21"/>
      <c r="N111" s="21"/>
      <c r="P111" s="21"/>
    </row>
    <row r="112">
      <c r="A112" s="58"/>
      <c r="L112" s="21"/>
      <c r="M112" s="21"/>
      <c r="N112" s="21"/>
      <c r="P112" s="21"/>
    </row>
    <row r="113">
      <c r="A113" s="58"/>
      <c r="L113" s="21"/>
      <c r="M113" s="21"/>
      <c r="N113" s="21"/>
      <c r="P113" s="21"/>
    </row>
    <row r="114">
      <c r="A114" s="58"/>
      <c r="L114" s="21"/>
      <c r="M114" s="21"/>
      <c r="N114" s="21"/>
      <c r="P114" s="21"/>
    </row>
    <row r="115">
      <c r="A115" s="58"/>
      <c r="L115" s="21"/>
      <c r="M115" s="21"/>
      <c r="N115" s="21"/>
      <c r="P115" s="21"/>
    </row>
    <row r="116">
      <c r="A116" s="58"/>
      <c r="L116" s="21"/>
      <c r="M116" s="21"/>
      <c r="N116" s="21"/>
      <c r="P116" s="21"/>
    </row>
    <row r="117">
      <c r="A117" s="58"/>
      <c r="L117" s="21"/>
      <c r="M117" s="21"/>
      <c r="N117" s="21"/>
      <c r="P117" s="21"/>
    </row>
    <row r="118">
      <c r="A118" s="58"/>
      <c r="L118" s="21"/>
      <c r="M118" s="21"/>
      <c r="N118" s="21"/>
      <c r="P118" s="21"/>
    </row>
    <row r="119">
      <c r="A119" s="58"/>
      <c r="L119" s="21"/>
      <c r="M119" s="21"/>
      <c r="N119" s="21"/>
      <c r="P119" s="21"/>
    </row>
    <row r="120">
      <c r="A120" s="58"/>
      <c r="L120" s="21"/>
      <c r="M120" s="21"/>
      <c r="N120" s="21"/>
      <c r="P120" s="21"/>
    </row>
    <row r="121">
      <c r="A121" s="58"/>
      <c r="L121" s="21"/>
      <c r="M121" s="21"/>
      <c r="N121" s="21"/>
      <c r="P121" s="21"/>
    </row>
    <row r="122">
      <c r="A122" s="58"/>
      <c r="L122" s="21"/>
      <c r="M122" s="21"/>
      <c r="N122" s="21"/>
      <c r="P122" s="21"/>
    </row>
    <row r="123">
      <c r="A123" s="58"/>
      <c r="L123" s="21"/>
      <c r="M123" s="21"/>
      <c r="N123" s="21"/>
      <c r="P123" s="21"/>
    </row>
    <row r="124">
      <c r="A124" s="58"/>
      <c r="L124" s="21"/>
      <c r="M124" s="21"/>
      <c r="N124" s="21"/>
      <c r="P124" s="21"/>
    </row>
    <row r="125">
      <c r="A125" s="58"/>
      <c r="L125" s="21"/>
      <c r="M125" s="21"/>
      <c r="N125" s="21"/>
      <c r="P125" s="21"/>
    </row>
    <row r="126">
      <c r="A126" s="58"/>
      <c r="L126" s="21"/>
      <c r="M126" s="21"/>
      <c r="N126" s="21"/>
      <c r="P126" s="21"/>
    </row>
    <row r="127">
      <c r="A127" s="58"/>
      <c r="L127" s="21"/>
      <c r="M127" s="21"/>
      <c r="N127" s="21"/>
      <c r="P127" s="21"/>
    </row>
    <row r="128">
      <c r="A128" s="58"/>
      <c r="L128" s="21"/>
      <c r="M128" s="21"/>
      <c r="N128" s="21"/>
      <c r="P128" s="21"/>
    </row>
    <row r="129">
      <c r="A129" s="58"/>
      <c r="L129" s="21"/>
      <c r="M129" s="21"/>
      <c r="N129" s="21"/>
      <c r="P129" s="21"/>
    </row>
    <row r="130">
      <c r="A130" s="58"/>
      <c r="L130" s="21"/>
      <c r="M130" s="21"/>
      <c r="N130" s="21"/>
      <c r="P130" s="21"/>
    </row>
    <row r="131">
      <c r="A131" s="58"/>
      <c r="L131" s="21"/>
      <c r="M131" s="21"/>
      <c r="N131" s="21"/>
      <c r="P131" s="21"/>
    </row>
    <row r="132">
      <c r="A132" s="58"/>
      <c r="L132" s="21"/>
      <c r="M132" s="21"/>
      <c r="N132" s="21"/>
      <c r="P132" s="21"/>
    </row>
    <row r="133">
      <c r="A133" s="58"/>
      <c r="L133" s="21"/>
      <c r="M133" s="21"/>
      <c r="N133" s="21"/>
      <c r="P133" s="21"/>
    </row>
    <row r="134">
      <c r="A134" s="58"/>
      <c r="L134" s="21"/>
      <c r="M134" s="21"/>
      <c r="N134" s="21"/>
      <c r="P134" s="21"/>
    </row>
    <row r="135">
      <c r="A135" s="58"/>
      <c r="L135" s="21"/>
      <c r="M135" s="21"/>
      <c r="N135" s="21"/>
      <c r="P135" s="21"/>
    </row>
    <row r="136">
      <c r="A136" s="58"/>
      <c r="L136" s="21"/>
      <c r="M136" s="21"/>
      <c r="N136" s="21"/>
      <c r="P136" s="21"/>
    </row>
    <row r="137">
      <c r="A137" s="58"/>
      <c r="L137" s="21"/>
      <c r="M137" s="21"/>
      <c r="N137" s="21"/>
      <c r="P137" s="21"/>
    </row>
    <row r="138">
      <c r="A138" s="58"/>
      <c r="L138" s="21"/>
      <c r="M138" s="21"/>
      <c r="N138" s="21"/>
      <c r="P138" s="21"/>
    </row>
    <row r="139">
      <c r="A139" s="58"/>
      <c r="L139" s="21"/>
      <c r="M139" s="21"/>
      <c r="N139" s="21"/>
      <c r="P139" s="21"/>
    </row>
    <row r="140">
      <c r="A140" s="58"/>
      <c r="L140" s="21"/>
      <c r="M140" s="21"/>
      <c r="N140" s="21"/>
      <c r="P140" s="21"/>
    </row>
    <row r="141">
      <c r="A141" s="58"/>
      <c r="L141" s="21"/>
      <c r="M141" s="21"/>
      <c r="N141" s="21"/>
      <c r="P141" s="21"/>
    </row>
    <row r="142">
      <c r="A142" s="58"/>
      <c r="L142" s="21"/>
      <c r="M142" s="21"/>
      <c r="N142" s="21"/>
      <c r="P142" s="21"/>
    </row>
    <row r="143">
      <c r="A143" s="58"/>
      <c r="L143" s="21"/>
      <c r="M143" s="21"/>
      <c r="N143" s="21"/>
      <c r="P143" s="21"/>
    </row>
    <row r="144">
      <c r="A144" s="58"/>
      <c r="L144" s="21"/>
      <c r="M144" s="21"/>
      <c r="N144" s="21"/>
      <c r="P144" s="21"/>
    </row>
    <row r="145">
      <c r="A145" s="58"/>
      <c r="L145" s="21"/>
      <c r="M145" s="21"/>
      <c r="N145" s="21"/>
      <c r="P145" s="21"/>
    </row>
    <row r="146">
      <c r="A146" s="58"/>
      <c r="L146" s="21"/>
      <c r="M146" s="21"/>
      <c r="N146" s="21"/>
      <c r="P146" s="21"/>
    </row>
    <row r="147">
      <c r="A147" s="58"/>
      <c r="L147" s="21"/>
      <c r="M147" s="21"/>
      <c r="N147" s="21"/>
      <c r="P147" s="21"/>
    </row>
    <row r="148">
      <c r="A148" s="58"/>
      <c r="L148" s="21"/>
      <c r="M148" s="21"/>
      <c r="N148" s="21"/>
      <c r="P148" s="21"/>
    </row>
    <row r="149">
      <c r="A149" s="58"/>
      <c r="L149" s="21"/>
      <c r="M149" s="21"/>
      <c r="N149" s="21"/>
      <c r="P149" s="21"/>
    </row>
    <row r="150">
      <c r="A150" s="58"/>
      <c r="L150" s="21"/>
      <c r="M150" s="21"/>
      <c r="N150" s="21"/>
      <c r="P150" s="21"/>
    </row>
    <row r="151">
      <c r="A151" s="58"/>
      <c r="L151" s="21"/>
      <c r="M151" s="21"/>
      <c r="N151" s="21"/>
      <c r="P151" s="21"/>
    </row>
    <row r="152">
      <c r="A152" s="58"/>
      <c r="L152" s="21"/>
      <c r="M152" s="21"/>
      <c r="N152" s="21"/>
      <c r="P152" s="21"/>
    </row>
    <row r="153">
      <c r="A153" s="58"/>
      <c r="L153" s="21"/>
      <c r="M153" s="21"/>
      <c r="N153" s="21"/>
      <c r="P153" s="21"/>
    </row>
    <row r="154">
      <c r="A154" s="58"/>
      <c r="L154" s="21"/>
      <c r="M154" s="21"/>
      <c r="N154" s="21"/>
      <c r="P154" s="21"/>
    </row>
    <row r="155">
      <c r="A155" s="58"/>
      <c r="L155" s="21"/>
      <c r="M155" s="21"/>
      <c r="N155" s="21"/>
      <c r="P155" s="21"/>
    </row>
    <row r="156">
      <c r="A156" s="58"/>
      <c r="L156" s="21"/>
      <c r="M156" s="21"/>
      <c r="N156" s="21"/>
      <c r="P156" s="21"/>
    </row>
    <row r="157">
      <c r="A157" s="58"/>
      <c r="L157" s="21"/>
      <c r="M157" s="21"/>
      <c r="N157" s="21"/>
      <c r="P157" s="21"/>
    </row>
    <row r="158">
      <c r="A158" s="58"/>
      <c r="L158" s="21"/>
      <c r="M158" s="21"/>
      <c r="N158" s="21"/>
      <c r="P158" s="21"/>
    </row>
    <row r="159">
      <c r="A159" s="58"/>
      <c r="L159" s="21"/>
      <c r="M159" s="21"/>
      <c r="N159" s="21"/>
      <c r="P159" s="21"/>
    </row>
    <row r="160">
      <c r="A160" s="58"/>
      <c r="L160" s="21"/>
      <c r="M160" s="21"/>
      <c r="N160" s="21"/>
      <c r="P160" s="21"/>
    </row>
    <row r="161">
      <c r="A161" s="58"/>
      <c r="L161" s="21"/>
      <c r="M161" s="21"/>
      <c r="N161" s="21"/>
      <c r="P161" s="21"/>
    </row>
    <row r="162">
      <c r="A162" s="58"/>
      <c r="L162" s="21"/>
      <c r="M162" s="21"/>
      <c r="N162" s="21"/>
      <c r="P162" s="21"/>
    </row>
    <row r="163">
      <c r="A163" s="58"/>
      <c r="L163" s="21"/>
      <c r="M163" s="21"/>
      <c r="N163" s="21"/>
      <c r="P163" s="21"/>
    </row>
    <row r="164">
      <c r="A164" s="58"/>
      <c r="L164" s="21"/>
      <c r="M164" s="21"/>
      <c r="N164" s="21"/>
      <c r="P164" s="21"/>
    </row>
    <row r="165">
      <c r="A165" s="58"/>
      <c r="L165" s="21"/>
      <c r="M165" s="21"/>
      <c r="N165" s="21"/>
      <c r="P165" s="21"/>
    </row>
    <row r="166">
      <c r="A166" s="58"/>
      <c r="L166" s="21"/>
      <c r="M166" s="21"/>
      <c r="N166" s="21"/>
      <c r="P166" s="21"/>
    </row>
    <row r="167">
      <c r="A167" s="58"/>
      <c r="L167" s="21"/>
      <c r="M167" s="21"/>
      <c r="N167" s="21"/>
      <c r="P167" s="21"/>
    </row>
    <row r="168">
      <c r="A168" s="58"/>
      <c r="L168" s="21"/>
      <c r="M168" s="21"/>
      <c r="N168" s="21"/>
      <c r="P168" s="21"/>
    </row>
    <row r="169">
      <c r="A169" s="58"/>
      <c r="L169" s="21"/>
      <c r="M169" s="21"/>
      <c r="N169" s="21"/>
      <c r="P169" s="21"/>
    </row>
    <row r="170">
      <c r="A170" s="58"/>
      <c r="L170" s="21"/>
      <c r="M170" s="21"/>
      <c r="N170" s="21"/>
      <c r="P170" s="21"/>
    </row>
    <row r="171">
      <c r="A171" s="58"/>
      <c r="L171" s="21"/>
      <c r="M171" s="21"/>
      <c r="N171" s="21"/>
      <c r="P171" s="21"/>
    </row>
    <row r="172">
      <c r="A172" s="58"/>
      <c r="L172" s="21"/>
      <c r="M172" s="21"/>
      <c r="N172" s="21"/>
      <c r="P172" s="21"/>
    </row>
    <row r="173">
      <c r="A173" s="58"/>
      <c r="L173" s="21"/>
      <c r="M173" s="21"/>
      <c r="N173" s="21"/>
      <c r="P173" s="21"/>
    </row>
    <row r="174">
      <c r="A174" s="58"/>
      <c r="L174" s="21"/>
      <c r="M174" s="21"/>
      <c r="N174" s="21"/>
      <c r="P174" s="21"/>
    </row>
    <row r="175">
      <c r="A175" s="58"/>
      <c r="L175" s="21"/>
      <c r="M175" s="21"/>
      <c r="N175" s="21"/>
      <c r="P175" s="21"/>
    </row>
    <row r="176">
      <c r="A176" s="58"/>
      <c r="L176" s="21"/>
      <c r="M176" s="21"/>
      <c r="N176" s="21"/>
      <c r="P176" s="21"/>
    </row>
    <row r="177">
      <c r="A177" s="58"/>
      <c r="L177" s="21"/>
      <c r="M177" s="21"/>
      <c r="N177" s="21"/>
      <c r="P177" s="21"/>
    </row>
    <row r="178">
      <c r="A178" s="58"/>
      <c r="L178" s="21"/>
      <c r="M178" s="21"/>
      <c r="N178" s="21"/>
      <c r="P178" s="21"/>
    </row>
    <row r="179">
      <c r="A179" s="58"/>
      <c r="L179" s="21"/>
      <c r="M179" s="21"/>
      <c r="N179" s="21"/>
      <c r="P179" s="21"/>
    </row>
    <row r="180">
      <c r="A180" s="58"/>
      <c r="L180" s="21"/>
      <c r="M180" s="21"/>
      <c r="N180" s="21"/>
      <c r="P180" s="21"/>
    </row>
    <row r="181">
      <c r="A181" s="58"/>
      <c r="L181" s="21"/>
      <c r="M181" s="21"/>
      <c r="N181" s="21"/>
      <c r="P181" s="21"/>
    </row>
    <row r="182">
      <c r="A182" s="58"/>
      <c r="L182" s="21"/>
      <c r="M182" s="21"/>
      <c r="N182" s="21"/>
      <c r="P182" s="21"/>
    </row>
    <row r="183">
      <c r="A183" s="58"/>
      <c r="L183" s="21"/>
      <c r="M183" s="21"/>
      <c r="N183" s="21"/>
      <c r="P183" s="21"/>
    </row>
    <row r="184">
      <c r="A184" s="58"/>
      <c r="L184" s="21"/>
      <c r="M184" s="21"/>
      <c r="N184" s="21"/>
      <c r="P184" s="21"/>
    </row>
    <row r="185">
      <c r="A185" s="58"/>
      <c r="L185" s="21"/>
      <c r="M185" s="21"/>
      <c r="N185" s="21"/>
      <c r="P185" s="21"/>
    </row>
    <row r="186">
      <c r="A186" s="58"/>
      <c r="L186" s="21"/>
      <c r="M186" s="21"/>
      <c r="N186" s="21"/>
      <c r="P186" s="21"/>
    </row>
    <row r="187">
      <c r="A187" s="58"/>
      <c r="L187" s="21"/>
      <c r="M187" s="21"/>
      <c r="N187" s="21"/>
      <c r="P187" s="21"/>
    </row>
    <row r="188">
      <c r="A188" s="58"/>
      <c r="L188" s="21"/>
      <c r="M188" s="21"/>
      <c r="N188" s="21"/>
      <c r="P188" s="21"/>
    </row>
    <row r="189">
      <c r="A189" s="58"/>
      <c r="L189" s="21"/>
      <c r="M189" s="21"/>
      <c r="N189" s="21"/>
      <c r="P189" s="21"/>
    </row>
    <row r="190">
      <c r="A190" s="58"/>
      <c r="L190" s="21"/>
      <c r="M190" s="21"/>
      <c r="N190" s="21"/>
      <c r="P190" s="21"/>
    </row>
    <row r="191">
      <c r="A191" s="58"/>
      <c r="L191" s="21"/>
      <c r="M191" s="21"/>
      <c r="N191" s="21"/>
      <c r="P191" s="21"/>
    </row>
    <row r="192">
      <c r="A192" s="58"/>
      <c r="L192" s="21"/>
      <c r="M192" s="21"/>
      <c r="N192" s="21"/>
      <c r="P192" s="21"/>
    </row>
    <row r="193">
      <c r="A193" s="58"/>
      <c r="L193" s="21"/>
      <c r="M193" s="21"/>
      <c r="N193" s="21"/>
      <c r="P193" s="21"/>
    </row>
    <row r="194">
      <c r="A194" s="58"/>
      <c r="L194" s="21"/>
      <c r="M194" s="21"/>
      <c r="N194" s="21"/>
      <c r="P194" s="21"/>
    </row>
    <row r="195">
      <c r="A195" s="58"/>
      <c r="L195" s="21"/>
      <c r="M195" s="21"/>
      <c r="N195" s="21"/>
      <c r="P195" s="21"/>
    </row>
    <row r="196">
      <c r="A196" s="58"/>
      <c r="L196" s="21"/>
      <c r="M196" s="21"/>
      <c r="N196" s="21"/>
      <c r="P196" s="21"/>
    </row>
    <row r="197">
      <c r="A197" s="58"/>
      <c r="L197" s="21"/>
      <c r="M197" s="21"/>
      <c r="N197" s="21"/>
      <c r="P197" s="21"/>
    </row>
    <row r="198">
      <c r="A198" s="58"/>
      <c r="L198" s="21"/>
      <c r="M198" s="21"/>
      <c r="N198" s="21"/>
      <c r="P198" s="21"/>
    </row>
    <row r="199">
      <c r="A199" s="58"/>
      <c r="L199" s="21"/>
      <c r="M199" s="21"/>
      <c r="N199" s="21"/>
      <c r="P199" s="21"/>
    </row>
    <row r="200">
      <c r="A200" s="58"/>
      <c r="L200" s="21"/>
      <c r="M200" s="21"/>
      <c r="N200" s="21"/>
      <c r="P200" s="21"/>
    </row>
    <row r="201">
      <c r="A201" s="58"/>
      <c r="L201" s="21"/>
      <c r="M201" s="21"/>
      <c r="N201" s="21"/>
      <c r="P201" s="21"/>
    </row>
    <row r="202">
      <c r="A202" s="58"/>
      <c r="L202" s="21"/>
      <c r="M202" s="21"/>
      <c r="N202" s="21"/>
      <c r="P202" s="21"/>
    </row>
    <row r="203">
      <c r="A203" s="58"/>
      <c r="L203" s="21"/>
      <c r="M203" s="21"/>
      <c r="N203" s="21"/>
      <c r="P203" s="21"/>
    </row>
    <row r="204">
      <c r="A204" s="58"/>
      <c r="L204" s="21"/>
      <c r="M204" s="21"/>
      <c r="N204" s="21"/>
      <c r="P204" s="21"/>
    </row>
    <row r="205">
      <c r="A205" s="58"/>
      <c r="L205" s="21"/>
      <c r="M205" s="21"/>
      <c r="N205" s="21"/>
      <c r="P205" s="21"/>
    </row>
    <row r="206">
      <c r="A206" s="58"/>
      <c r="L206" s="21"/>
      <c r="M206" s="21"/>
      <c r="N206" s="21"/>
      <c r="P206" s="21"/>
    </row>
    <row r="207">
      <c r="A207" s="58"/>
      <c r="L207" s="21"/>
      <c r="M207" s="21"/>
      <c r="N207" s="21"/>
      <c r="P207" s="21"/>
    </row>
    <row r="208">
      <c r="A208" s="58"/>
      <c r="L208" s="21"/>
      <c r="M208" s="21"/>
      <c r="N208" s="21"/>
      <c r="P208" s="21"/>
    </row>
    <row r="209">
      <c r="A209" s="58"/>
      <c r="L209" s="21"/>
      <c r="M209" s="21"/>
      <c r="N209" s="21"/>
      <c r="P209" s="21"/>
    </row>
    <row r="210">
      <c r="A210" s="58"/>
      <c r="L210" s="21"/>
      <c r="M210" s="21"/>
      <c r="N210" s="21"/>
      <c r="P210" s="21"/>
    </row>
    <row r="211">
      <c r="A211" s="58"/>
      <c r="L211" s="21"/>
      <c r="M211" s="21"/>
      <c r="N211" s="21"/>
      <c r="P211" s="21"/>
    </row>
    <row r="212">
      <c r="A212" s="58"/>
      <c r="L212" s="21"/>
      <c r="M212" s="21"/>
      <c r="N212" s="21"/>
      <c r="P212" s="21"/>
    </row>
    <row r="213">
      <c r="A213" s="58"/>
      <c r="L213" s="21"/>
      <c r="M213" s="21"/>
      <c r="N213" s="21"/>
      <c r="P213" s="21"/>
    </row>
    <row r="214">
      <c r="A214" s="58"/>
      <c r="L214" s="21"/>
      <c r="M214" s="21"/>
      <c r="N214" s="21"/>
      <c r="P214" s="21"/>
    </row>
    <row r="215">
      <c r="A215" s="58"/>
      <c r="L215" s="21"/>
      <c r="M215" s="21"/>
      <c r="N215" s="21"/>
      <c r="P215" s="21"/>
    </row>
    <row r="216">
      <c r="A216" s="58"/>
      <c r="L216" s="21"/>
      <c r="M216" s="21"/>
      <c r="N216" s="21"/>
      <c r="P216" s="21"/>
    </row>
    <row r="217">
      <c r="A217" s="58"/>
      <c r="L217" s="21"/>
      <c r="M217" s="21"/>
      <c r="N217" s="21"/>
      <c r="P217" s="21"/>
    </row>
    <row r="218">
      <c r="A218" s="58"/>
      <c r="L218" s="21"/>
      <c r="M218" s="21"/>
      <c r="N218" s="21"/>
      <c r="P218" s="21"/>
    </row>
    <row r="219">
      <c r="A219" s="58"/>
      <c r="L219" s="21"/>
      <c r="M219" s="21"/>
      <c r="N219" s="21"/>
      <c r="P219" s="21"/>
    </row>
    <row r="220">
      <c r="A220" s="58"/>
      <c r="L220" s="21"/>
      <c r="M220" s="21"/>
      <c r="N220" s="21"/>
      <c r="P220" s="21"/>
    </row>
    <row r="221">
      <c r="A221" s="58"/>
      <c r="L221" s="21"/>
      <c r="M221" s="21"/>
      <c r="N221" s="21"/>
      <c r="P221" s="21"/>
    </row>
    <row r="222">
      <c r="A222" s="58"/>
      <c r="L222" s="21"/>
      <c r="M222" s="21"/>
      <c r="N222" s="21"/>
      <c r="P222" s="21"/>
    </row>
    <row r="223">
      <c r="A223" s="58"/>
      <c r="L223" s="21"/>
      <c r="M223" s="21"/>
      <c r="N223" s="21"/>
      <c r="P223" s="21"/>
    </row>
    <row r="224">
      <c r="A224" s="58"/>
      <c r="L224" s="21"/>
      <c r="M224" s="21"/>
      <c r="N224" s="21"/>
      <c r="P224" s="21"/>
    </row>
    <row r="225">
      <c r="A225" s="58"/>
      <c r="L225" s="21"/>
      <c r="M225" s="21"/>
      <c r="N225" s="21"/>
      <c r="P225" s="21"/>
    </row>
    <row r="226">
      <c r="A226" s="58"/>
      <c r="L226" s="21"/>
      <c r="M226" s="21"/>
      <c r="N226" s="21"/>
      <c r="P226" s="21"/>
    </row>
    <row r="227">
      <c r="A227" s="58"/>
      <c r="L227" s="21"/>
      <c r="M227" s="21"/>
      <c r="N227" s="21"/>
      <c r="P227" s="21"/>
    </row>
    <row r="228">
      <c r="A228" s="58"/>
      <c r="L228" s="21"/>
      <c r="M228" s="21"/>
      <c r="N228" s="21"/>
      <c r="P228" s="21"/>
    </row>
    <row r="229">
      <c r="A229" s="58"/>
      <c r="L229" s="21"/>
      <c r="M229" s="21"/>
      <c r="N229" s="21"/>
      <c r="P229" s="21"/>
    </row>
    <row r="230">
      <c r="A230" s="58"/>
      <c r="L230" s="21"/>
      <c r="M230" s="21"/>
      <c r="N230" s="21"/>
      <c r="P230" s="21"/>
    </row>
    <row r="231">
      <c r="A231" s="58"/>
      <c r="L231" s="21"/>
      <c r="M231" s="21"/>
      <c r="N231" s="21"/>
      <c r="P231" s="21"/>
    </row>
    <row r="232">
      <c r="A232" s="58"/>
      <c r="L232" s="21"/>
      <c r="M232" s="21"/>
      <c r="N232" s="21"/>
      <c r="P232" s="21"/>
    </row>
    <row r="233">
      <c r="A233" s="58"/>
      <c r="L233" s="21"/>
      <c r="M233" s="21"/>
      <c r="N233" s="21"/>
      <c r="P233" s="21"/>
    </row>
    <row r="234">
      <c r="A234" s="58"/>
      <c r="L234" s="21"/>
      <c r="M234" s="21"/>
      <c r="N234" s="21"/>
      <c r="P234" s="21"/>
    </row>
    <row r="235">
      <c r="A235" s="58"/>
      <c r="L235" s="21"/>
      <c r="M235" s="21"/>
      <c r="N235" s="21"/>
      <c r="P235" s="21"/>
    </row>
    <row r="236">
      <c r="A236" s="58"/>
      <c r="L236" s="21"/>
      <c r="M236" s="21"/>
      <c r="N236" s="21"/>
      <c r="P236" s="21"/>
    </row>
    <row r="237">
      <c r="A237" s="58"/>
      <c r="L237" s="21"/>
      <c r="M237" s="21"/>
      <c r="N237" s="21"/>
      <c r="P237" s="21"/>
    </row>
    <row r="238">
      <c r="A238" s="58"/>
      <c r="L238" s="21"/>
      <c r="M238" s="21"/>
      <c r="N238" s="21"/>
      <c r="P238" s="21"/>
    </row>
    <row r="239">
      <c r="A239" s="58"/>
      <c r="L239" s="21"/>
      <c r="M239" s="21"/>
      <c r="N239" s="21"/>
      <c r="P239" s="21"/>
    </row>
    <row r="240">
      <c r="A240" s="58"/>
      <c r="L240" s="21"/>
      <c r="M240" s="21"/>
      <c r="N240" s="21"/>
      <c r="P240" s="21"/>
    </row>
    <row r="241">
      <c r="A241" s="58"/>
      <c r="L241" s="21"/>
      <c r="M241" s="21"/>
      <c r="N241" s="21"/>
      <c r="P241" s="21"/>
    </row>
    <row r="242">
      <c r="A242" s="58"/>
      <c r="L242" s="21"/>
      <c r="M242" s="21"/>
      <c r="N242" s="21"/>
      <c r="P242" s="21"/>
    </row>
    <row r="243">
      <c r="A243" s="58"/>
      <c r="L243" s="21"/>
      <c r="M243" s="21"/>
      <c r="N243" s="21"/>
      <c r="P243" s="21"/>
    </row>
    <row r="244">
      <c r="A244" s="58"/>
      <c r="L244" s="21"/>
      <c r="M244" s="21"/>
      <c r="N244" s="21"/>
      <c r="P244" s="21"/>
    </row>
    <row r="245">
      <c r="A245" s="58"/>
      <c r="L245" s="21"/>
      <c r="M245" s="21"/>
      <c r="N245" s="21"/>
      <c r="P245" s="21"/>
    </row>
    <row r="246">
      <c r="A246" s="58"/>
      <c r="L246" s="21"/>
      <c r="M246" s="21"/>
      <c r="N246" s="21"/>
      <c r="P246" s="21"/>
    </row>
    <row r="247">
      <c r="A247" s="58"/>
      <c r="L247" s="21"/>
      <c r="M247" s="21"/>
      <c r="N247" s="21"/>
      <c r="P247" s="21"/>
    </row>
    <row r="248">
      <c r="A248" s="58"/>
      <c r="L248" s="21"/>
      <c r="M248" s="21"/>
      <c r="N248" s="21"/>
      <c r="P248" s="21"/>
    </row>
    <row r="249">
      <c r="A249" s="58"/>
      <c r="L249" s="21"/>
      <c r="M249" s="21"/>
      <c r="N249" s="21"/>
      <c r="P249" s="21"/>
    </row>
    <row r="250">
      <c r="A250" s="58"/>
      <c r="L250" s="21"/>
      <c r="M250" s="21"/>
      <c r="N250" s="21"/>
      <c r="P250" s="21"/>
    </row>
    <row r="251">
      <c r="A251" s="58"/>
      <c r="L251" s="21"/>
      <c r="M251" s="21"/>
      <c r="N251" s="21"/>
      <c r="P251" s="21"/>
    </row>
    <row r="252">
      <c r="A252" s="58"/>
      <c r="L252" s="21"/>
      <c r="M252" s="21"/>
      <c r="N252" s="21"/>
      <c r="P252" s="21"/>
    </row>
    <row r="253">
      <c r="A253" s="58"/>
      <c r="L253" s="21"/>
      <c r="M253" s="21"/>
      <c r="N253" s="21"/>
      <c r="P253" s="21"/>
    </row>
    <row r="254">
      <c r="A254" s="58"/>
      <c r="L254" s="21"/>
      <c r="M254" s="21"/>
      <c r="N254" s="21"/>
      <c r="P254" s="21"/>
    </row>
    <row r="255">
      <c r="A255" s="58"/>
      <c r="L255" s="21"/>
      <c r="M255" s="21"/>
      <c r="N255" s="21"/>
      <c r="P255" s="21"/>
    </row>
    <row r="256">
      <c r="A256" s="58"/>
      <c r="L256" s="21"/>
      <c r="M256" s="21"/>
      <c r="N256" s="21"/>
      <c r="P256" s="21"/>
    </row>
    <row r="257">
      <c r="A257" s="58"/>
      <c r="L257" s="21"/>
      <c r="M257" s="21"/>
      <c r="N257" s="21"/>
      <c r="P257" s="21"/>
    </row>
    <row r="258">
      <c r="A258" s="58"/>
      <c r="L258" s="21"/>
      <c r="M258" s="21"/>
      <c r="N258" s="21"/>
      <c r="P258" s="21"/>
    </row>
    <row r="259">
      <c r="A259" s="58"/>
      <c r="L259" s="21"/>
      <c r="M259" s="21"/>
      <c r="N259" s="21"/>
      <c r="P259" s="21"/>
    </row>
    <row r="260">
      <c r="A260" s="58"/>
      <c r="L260" s="21"/>
      <c r="M260" s="21"/>
      <c r="N260" s="21"/>
      <c r="P260" s="21"/>
    </row>
    <row r="261">
      <c r="A261" s="58"/>
      <c r="L261" s="21"/>
      <c r="M261" s="21"/>
      <c r="N261" s="21"/>
      <c r="P261" s="21"/>
    </row>
    <row r="262">
      <c r="A262" s="58"/>
      <c r="L262" s="21"/>
      <c r="M262" s="21"/>
      <c r="N262" s="21"/>
      <c r="P262" s="21"/>
    </row>
    <row r="263">
      <c r="A263" s="58"/>
      <c r="L263" s="21"/>
      <c r="M263" s="21"/>
      <c r="N263" s="21"/>
      <c r="P263" s="21"/>
    </row>
    <row r="264">
      <c r="A264" s="58"/>
      <c r="L264" s="21"/>
      <c r="M264" s="21"/>
      <c r="N264" s="21"/>
      <c r="P264" s="21"/>
    </row>
    <row r="265">
      <c r="A265" s="58"/>
      <c r="L265" s="21"/>
      <c r="M265" s="21"/>
      <c r="N265" s="21"/>
      <c r="P265" s="21"/>
    </row>
    <row r="266">
      <c r="A266" s="58"/>
      <c r="L266" s="21"/>
      <c r="M266" s="21"/>
      <c r="N266" s="21"/>
      <c r="P266" s="21"/>
    </row>
    <row r="267">
      <c r="A267" s="58"/>
      <c r="L267" s="21"/>
      <c r="M267" s="21"/>
      <c r="N267" s="21"/>
      <c r="P267" s="21"/>
    </row>
    <row r="268">
      <c r="A268" s="58"/>
      <c r="L268" s="21"/>
      <c r="M268" s="21"/>
      <c r="N268" s="21"/>
      <c r="P268" s="21"/>
    </row>
    <row r="269">
      <c r="A269" s="58"/>
      <c r="L269" s="21"/>
      <c r="M269" s="21"/>
      <c r="N269" s="21"/>
      <c r="P269" s="21"/>
    </row>
    <row r="270">
      <c r="A270" s="58"/>
      <c r="L270" s="21"/>
      <c r="M270" s="21"/>
      <c r="N270" s="21"/>
      <c r="P270" s="21"/>
    </row>
    <row r="271">
      <c r="A271" s="58"/>
      <c r="L271" s="21"/>
      <c r="M271" s="21"/>
      <c r="N271" s="21"/>
      <c r="P271" s="21"/>
    </row>
    <row r="272">
      <c r="A272" s="58"/>
      <c r="L272" s="21"/>
      <c r="M272" s="21"/>
      <c r="N272" s="21"/>
      <c r="P272" s="21"/>
    </row>
    <row r="273">
      <c r="A273" s="58"/>
      <c r="L273" s="21"/>
      <c r="M273" s="21"/>
      <c r="N273" s="21"/>
      <c r="P273" s="21"/>
    </row>
    <row r="274">
      <c r="A274" s="58"/>
      <c r="L274" s="21"/>
      <c r="M274" s="21"/>
      <c r="N274" s="21"/>
      <c r="P274" s="21"/>
    </row>
    <row r="275">
      <c r="A275" s="58"/>
      <c r="L275" s="21"/>
      <c r="M275" s="21"/>
      <c r="N275" s="21"/>
      <c r="P275" s="21"/>
    </row>
    <row r="276">
      <c r="A276" s="58"/>
      <c r="L276" s="21"/>
      <c r="M276" s="21"/>
      <c r="N276" s="21"/>
      <c r="P276" s="21"/>
    </row>
    <row r="277">
      <c r="A277" s="58"/>
      <c r="L277" s="21"/>
      <c r="M277" s="21"/>
      <c r="N277" s="21"/>
      <c r="P277" s="21"/>
    </row>
    <row r="278">
      <c r="A278" s="58"/>
      <c r="L278" s="21"/>
      <c r="M278" s="21"/>
      <c r="N278" s="21"/>
      <c r="P278" s="21"/>
    </row>
    <row r="279">
      <c r="A279" s="58"/>
      <c r="L279" s="21"/>
      <c r="M279" s="21"/>
      <c r="N279" s="21"/>
      <c r="P279" s="21"/>
    </row>
    <row r="280">
      <c r="A280" s="58"/>
      <c r="L280" s="21"/>
      <c r="M280" s="21"/>
      <c r="N280" s="21"/>
      <c r="P280" s="21"/>
    </row>
    <row r="281">
      <c r="A281" s="58"/>
      <c r="L281" s="21"/>
      <c r="M281" s="21"/>
      <c r="N281" s="21"/>
      <c r="P281" s="21"/>
    </row>
    <row r="282">
      <c r="A282" s="58"/>
      <c r="L282" s="21"/>
      <c r="M282" s="21"/>
      <c r="N282" s="21"/>
      <c r="P282" s="21"/>
    </row>
    <row r="283">
      <c r="A283" s="58"/>
      <c r="L283" s="21"/>
      <c r="M283" s="21"/>
      <c r="N283" s="21"/>
      <c r="P283" s="21"/>
    </row>
    <row r="284">
      <c r="A284" s="58"/>
      <c r="L284" s="21"/>
      <c r="M284" s="21"/>
      <c r="N284" s="21"/>
      <c r="P284" s="21"/>
    </row>
    <row r="285">
      <c r="A285" s="58"/>
      <c r="L285" s="21"/>
      <c r="M285" s="21"/>
      <c r="N285" s="21"/>
      <c r="P285" s="21"/>
    </row>
    <row r="286">
      <c r="A286" s="58"/>
      <c r="L286" s="21"/>
      <c r="M286" s="21"/>
      <c r="N286" s="21"/>
      <c r="P286" s="21"/>
    </row>
    <row r="287">
      <c r="A287" s="58"/>
      <c r="L287" s="21"/>
      <c r="M287" s="21"/>
      <c r="N287" s="21"/>
      <c r="P287" s="21"/>
    </row>
    <row r="288">
      <c r="A288" s="58"/>
      <c r="L288" s="21"/>
      <c r="M288" s="21"/>
      <c r="N288" s="21"/>
      <c r="P288" s="21"/>
    </row>
    <row r="289">
      <c r="A289" s="58"/>
      <c r="L289" s="21"/>
      <c r="M289" s="21"/>
      <c r="N289" s="21"/>
      <c r="P289" s="21"/>
    </row>
    <row r="290">
      <c r="A290" s="58"/>
      <c r="L290" s="21"/>
      <c r="M290" s="21"/>
      <c r="N290" s="21"/>
      <c r="P290" s="21"/>
    </row>
    <row r="291">
      <c r="A291" s="58"/>
      <c r="L291" s="21"/>
      <c r="M291" s="21"/>
      <c r="N291" s="21"/>
      <c r="P291" s="21"/>
    </row>
    <row r="292">
      <c r="A292" s="58"/>
      <c r="L292" s="21"/>
      <c r="M292" s="21"/>
      <c r="N292" s="21"/>
      <c r="P292" s="21"/>
    </row>
    <row r="293">
      <c r="A293" s="58"/>
      <c r="L293" s="21"/>
      <c r="M293" s="21"/>
      <c r="N293" s="21"/>
      <c r="P293" s="21"/>
    </row>
    <row r="294">
      <c r="A294" s="58"/>
      <c r="L294" s="21"/>
      <c r="M294" s="21"/>
      <c r="N294" s="21"/>
      <c r="P294" s="21"/>
    </row>
    <row r="295">
      <c r="A295" s="58"/>
      <c r="L295" s="21"/>
      <c r="M295" s="21"/>
      <c r="N295" s="21"/>
      <c r="P295" s="21"/>
    </row>
    <row r="296">
      <c r="A296" s="58"/>
      <c r="L296" s="21"/>
      <c r="M296" s="21"/>
      <c r="N296" s="21"/>
      <c r="P296" s="21"/>
    </row>
    <row r="297">
      <c r="A297" s="58"/>
      <c r="L297" s="21"/>
      <c r="M297" s="21"/>
      <c r="N297" s="21"/>
      <c r="P297" s="21"/>
    </row>
    <row r="298">
      <c r="A298" s="58"/>
      <c r="L298" s="21"/>
      <c r="M298" s="21"/>
      <c r="N298" s="21"/>
      <c r="P298" s="21"/>
    </row>
    <row r="299">
      <c r="A299" s="58"/>
      <c r="L299" s="21"/>
      <c r="M299" s="21"/>
      <c r="N299" s="21"/>
      <c r="P299" s="21"/>
    </row>
    <row r="300">
      <c r="A300" s="58"/>
      <c r="L300" s="21"/>
      <c r="M300" s="21"/>
      <c r="N300" s="21"/>
      <c r="P300" s="21"/>
    </row>
    <row r="301">
      <c r="A301" s="58"/>
      <c r="L301" s="21"/>
      <c r="M301" s="21"/>
      <c r="N301" s="21"/>
      <c r="P301" s="21"/>
    </row>
    <row r="302">
      <c r="A302" s="58"/>
      <c r="L302" s="21"/>
      <c r="M302" s="21"/>
      <c r="N302" s="21"/>
      <c r="P302" s="21"/>
    </row>
    <row r="303">
      <c r="A303" s="58"/>
      <c r="L303" s="21"/>
      <c r="M303" s="21"/>
      <c r="N303" s="21"/>
      <c r="P303" s="21"/>
    </row>
    <row r="304">
      <c r="A304" s="58"/>
      <c r="L304" s="21"/>
      <c r="M304" s="21"/>
      <c r="N304" s="21"/>
      <c r="P304" s="21"/>
    </row>
    <row r="305">
      <c r="A305" s="58"/>
      <c r="L305" s="21"/>
      <c r="M305" s="21"/>
      <c r="N305" s="21"/>
      <c r="P305" s="21"/>
    </row>
    <row r="306">
      <c r="A306" s="58"/>
      <c r="L306" s="21"/>
      <c r="M306" s="21"/>
      <c r="N306" s="21"/>
      <c r="P306" s="21"/>
    </row>
    <row r="307">
      <c r="A307" s="58"/>
      <c r="L307" s="21"/>
      <c r="M307" s="21"/>
      <c r="N307" s="21"/>
      <c r="P307" s="21"/>
    </row>
    <row r="308">
      <c r="A308" s="58"/>
      <c r="L308" s="21"/>
      <c r="M308" s="21"/>
      <c r="N308" s="21"/>
      <c r="P308" s="21"/>
    </row>
    <row r="309">
      <c r="A309" s="58"/>
      <c r="L309" s="21"/>
      <c r="M309" s="21"/>
      <c r="N309" s="21"/>
      <c r="P309" s="21"/>
    </row>
    <row r="310">
      <c r="A310" s="58"/>
      <c r="L310" s="21"/>
      <c r="M310" s="21"/>
      <c r="N310" s="21"/>
      <c r="P310" s="21"/>
    </row>
    <row r="311">
      <c r="A311" s="58"/>
      <c r="L311" s="21"/>
      <c r="M311" s="21"/>
      <c r="N311" s="21"/>
      <c r="P311" s="21"/>
    </row>
    <row r="312">
      <c r="A312" s="58"/>
      <c r="L312" s="21"/>
      <c r="M312" s="21"/>
      <c r="N312" s="21"/>
      <c r="P312" s="21"/>
    </row>
    <row r="313">
      <c r="A313" s="58"/>
      <c r="L313" s="21"/>
      <c r="M313" s="21"/>
      <c r="N313" s="21"/>
      <c r="P313" s="21"/>
    </row>
    <row r="314">
      <c r="A314" s="58"/>
      <c r="L314" s="21"/>
      <c r="M314" s="21"/>
      <c r="N314" s="21"/>
      <c r="P314" s="21"/>
    </row>
    <row r="315">
      <c r="A315" s="58"/>
      <c r="L315" s="21"/>
      <c r="M315" s="21"/>
      <c r="N315" s="21"/>
      <c r="P315" s="21"/>
    </row>
    <row r="316">
      <c r="A316" s="58"/>
      <c r="L316" s="21"/>
      <c r="M316" s="21"/>
      <c r="N316" s="21"/>
      <c r="P316" s="21"/>
    </row>
    <row r="317">
      <c r="A317" s="58"/>
      <c r="L317" s="21"/>
      <c r="M317" s="21"/>
      <c r="N317" s="21"/>
      <c r="P317" s="21"/>
    </row>
    <row r="318">
      <c r="A318" s="58"/>
      <c r="L318" s="21"/>
      <c r="M318" s="21"/>
      <c r="N318" s="21"/>
      <c r="P318" s="21"/>
    </row>
    <row r="319">
      <c r="A319" s="58"/>
      <c r="L319" s="21"/>
      <c r="M319" s="21"/>
      <c r="N319" s="21"/>
      <c r="P319" s="21"/>
    </row>
    <row r="320">
      <c r="A320" s="58"/>
      <c r="L320" s="21"/>
      <c r="M320" s="21"/>
      <c r="N320" s="21"/>
      <c r="P320" s="21"/>
    </row>
    <row r="321">
      <c r="A321" s="58"/>
      <c r="L321" s="21"/>
      <c r="M321" s="21"/>
      <c r="N321" s="21"/>
      <c r="P321" s="21"/>
    </row>
    <row r="322">
      <c r="A322" s="58"/>
      <c r="L322" s="21"/>
      <c r="M322" s="21"/>
      <c r="N322" s="21"/>
      <c r="P322" s="21"/>
    </row>
    <row r="323">
      <c r="A323" s="58"/>
      <c r="L323" s="21"/>
      <c r="M323" s="21"/>
      <c r="N323" s="21"/>
      <c r="P323" s="21"/>
    </row>
    <row r="324">
      <c r="A324" s="58"/>
      <c r="L324" s="21"/>
      <c r="M324" s="21"/>
      <c r="N324" s="21"/>
      <c r="P324" s="21"/>
    </row>
    <row r="325">
      <c r="A325" s="58"/>
      <c r="L325" s="21"/>
      <c r="M325" s="21"/>
      <c r="N325" s="21"/>
      <c r="P325" s="21"/>
    </row>
    <row r="326">
      <c r="A326" s="58"/>
      <c r="L326" s="21"/>
      <c r="M326" s="21"/>
      <c r="N326" s="21"/>
      <c r="P326" s="21"/>
    </row>
    <row r="327">
      <c r="A327" s="58"/>
      <c r="L327" s="21"/>
      <c r="M327" s="21"/>
      <c r="N327" s="21"/>
      <c r="P327" s="21"/>
    </row>
    <row r="328">
      <c r="A328" s="58"/>
      <c r="L328" s="21"/>
      <c r="M328" s="21"/>
      <c r="N328" s="21"/>
      <c r="P328" s="21"/>
    </row>
    <row r="329">
      <c r="A329" s="58"/>
      <c r="L329" s="21"/>
      <c r="M329" s="21"/>
      <c r="N329" s="21"/>
      <c r="P329" s="21"/>
    </row>
    <row r="330">
      <c r="A330" s="58"/>
      <c r="L330" s="21"/>
      <c r="M330" s="21"/>
      <c r="N330" s="21"/>
      <c r="P330" s="21"/>
    </row>
    <row r="331">
      <c r="A331" s="58"/>
      <c r="L331" s="21"/>
      <c r="M331" s="21"/>
      <c r="N331" s="21"/>
      <c r="P331" s="21"/>
    </row>
    <row r="332">
      <c r="A332" s="58"/>
      <c r="L332" s="21"/>
      <c r="M332" s="21"/>
      <c r="N332" s="21"/>
      <c r="P332" s="21"/>
    </row>
    <row r="333">
      <c r="A333" s="58"/>
      <c r="L333" s="21"/>
      <c r="M333" s="21"/>
      <c r="N333" s="21"/>
      <c r="P333" s="21"/>
    </row>
    <row r="334">
      <c r="A334" s="58"/>
      <c r="L334" s="21"/>
      <c r="M334" s="21"/>
      <c r="N334" s="21"/>
      <c r="P334" s="21"/>
    </row>
    <row r="335">
      <c r="A335" s="58"/>
      <c r="L335" s="21"/>
      <c r="M335" s="21"/>
      <c r="N335" s="21"/>
      <c r="P335" s="21"/>
    </row>
    <row r="336">
      <c r="A336" s="58"/>
      <c r="L336" s="21"/>
      <c r="M336" s="21"/>
      <c r="N336" s="21"/>
      <c r="P336" s="21"/>
    </row>
    <row r="337">
      <c r="A337" s="58"/>
      <c r="L337" s="21"/>
      <c r="M337" s="21"/>
      <c r="N337" s="21"/>
      <c r="P337" s="21"/>
    </row>
    <row r="338">
      <c r="A338" s="58"/>
      <c r="L338" s="21"/>
      <c r="M338" s="21"/>
      <c r="N338" s="21"/>
      <c r="P338" s="21"/>
    </row>
    <row r="339">
      <c r="A339" s="58"/>
      <c r="L339" s="21"/>
      <c r="M339" s="21"/>
      <c r="N339" s="21"/>
      <c r="P339" s="21"/>
    </row>
    <row r="340">
      <c r="A340" s="58"/>
      <c r="L340" s="21"/>
      <c r="M340" s="21"/>
      <c r="N340" s="21"/>
      <c r="P340" s="21"/>
    </row>
    <row r="341">
      <c r="A341" s="58"/>
      <c r="L341" s="21"/>
      <c r="M341" s="21"/>
      <c r="N341" s="21"/>
      <c r="P341" s="21"/>
    </row>
    <row r="342">
      <c r="A342" s="58"/>
      <c r="L342" s="21"/>
      <c r="M342" s="21"/>
      <c r="N342" s="21"/>
      <c r="P342" s="21"/>
    </row>
    <row r="343">
      <c r="A343" s="58"/>
      <c r="L343" s="21"/>
      <c r="M343" s="21"/>
      <c r="N343" s="21"/>
      <c r="P343" s="21"/>
    </row>
    <row r="344">
      <c r="A344" s="58"/>
      <c r="L344" s="21"/>
      <c r="M344" s="21"/>
      <c r="N344" s="21"/>
      <c r="P344" s="21"/>
    </row>
    <row r="345">
      <c r="A345" s="58"/>
      <c r="L345" s="21"/>
      <c r="M345" s="21"/>
      <c r="N345" s="21"/>
      <c r="P345" s="21"/>
    </row>
    <row r="346">
      <c r="A346" s="58"/>
      <c r="L346" s="21"/>
      <c r="M346" s="21"/>
      <c r="N346" s="21"/>
      <c r="P346" s="21"/>
    </row>
    <row r="347">
      <c r="A347" s="58"/>
      <c r="L347" s="21"/>
      <c r="M347" s="21"/>
      <c r="N347" s="21"/>
      <c r="P347" s="21"/>
    </row>
    <row r="348">
      <c r="A348" s="58"/>
      <c r="L348" s="21"/>
      <c r="M348" s="21"/>
      <c r="N348" s="21"/>
      <c r="P348" s="21"/>
    </row>
    <row r="349">
      <c r="A349" s="58"/>
      <c r="L349" s="21"/>
      <c r="M349" s="21"/>
      <c r="N349" s="21"/>
      <c r="P349" s="21"/>
    </row>
    <row r="350">
      <c r="A350" s="58"/>
      <c r="L350" s="21"/>
      <c r="M350" s="21"/>
      <c r="N350" s="21"/>
      <c r="P350" s="21"/>
    </row>
    <row r="351">
      <c r="A351" s="58"/>
      <c r="L351" s="21"/>
      <c r="M351" s="21"/>
      <c r="N351" s="21"/>
      <c r="P351" s="21"/>
    </row>
    <row r="352">
      <c r="A352" s="58"/>
      <c r="L352" s="21"/>
      <c r="M352" s="21"/>
      <c r="N352" s="21"/>
      <c r="P352" s="21"/>
    </row>
    <row r="353">
      <c r="A353" s="58"/>
      <c r="L353" s="21"/>
      <c r="M353" s="21"/>
      <c r="N353" s="21"/>
      <c r="P353" s="21"/>
    </row>
    <row r="354">
      <c r="A354" s="58"/>
      <c r="L354" s="21"/>
      <c r="M354" s="21"/>
      <c r="N354" s="21"/>
      <c r="P354" s="21"/>
    </row>
    <row r="355">
      <c r="A355" s="58"/>
      <c r="L355" s="21"/>
      <c r="M355" s="21"/>
      <c r="N355" s="21"/>
      <c r="P355" s="21"/>
    </row>
    <row r="356">
      <c r="A356" s="58"/>
      <c r="L356" s="21"/>
      <c r="M356" s="21"/>
      <c r="N356" s="21"/>
      <c r="P356" s="21"/>
    </row>
    <row r="357">
      <c r="A357" s="58"/>
      <c r="L357" s="21"/>
      <c r="M357" s="21"/>
      <c r="N357" s="21"/>
      <c r="P357" s="21"/>
    </row>
    <row r="358">
      <c r="A358" s="58"/>
      <c r="L358" s="21"/>
      <c r="M358" s="21"/>
      <c r="N358" s="21"/>
      <c r="P358" s="21"/>
    </row>
    <row r="359">
      <c r="A359" s="58"/>
      <c r="L359" s="21"/>
      <c r="M359" s="21"/>
      <c r="N359" s="21"/>
      <c r="P359" s="21"/>
    </row>
    <row r="360">
      <c r="A360" s="58"/>
      <c r="L360" s="21"/>
      <c r="M360" s="21"/>
      <c r="N360" s="21"/>
      <c r="P360" s="21"/>
    </row>
    <row r="361">
      <c r="A361" s="58"/>
      <c r="L361" s="21"/>
      <c r="M361" s="21"/>
      <c r="N361" s="21"/>
      <c r="P361" s="21"/>
    </row>
    <row r="362">
      <c r="A362" s="58"/>
      <c r="L362" s="21"/>
      <c r="M362" s="21"/>
      <c r="N362" s="21"/>
      <c r="P362" s="21"/>
    </row>
    <row r="363">
      <c r="A363" s="58"/>
      <c r="L363" s="21"/>
      <c r="M363" s="21"/>
      <c r="N363" s="21"/>
      <c r="P363" s="21"/>
    </row>
    <row r="364">
      <c r="A364" s="58"/>
      <c r="L364" s="21"/>
      <c r="M364" s="21"/>
      <c r="N364" s="21"/>
      <c r="P364" s="21"/>
    </row>
    <row r="365">
      <c r="A365" s="58"/>
      <c r="L365" s="21"/>
      <c r="M365" s="21"/>
      <c r="N365" s="21"/>
      <c r="P365" s="21"/>
    </row>
    <row r="366">
      <c r="A366" s="58"/>
      <c r="L366" s="21"/>
      <c r="M366" s="21"/>
      <c r="N366" s="21"/>
      <c r="P366" s="21"/>
    </row>
    <row r="367">
      <c r="A367" s="58"/>
      <c r="L367" s="21"/>
      <c r="M367" s="21"/>
      <c r="N367" s="21"/>
      <c r="P367" s="21"/>
    </row>
    <row r="368">
      <c r="A368" s="58"/>
      <c r="L368" s="21"/>
      <c r="M368" s="21"/>
      <c r="N368" s="21"/>
      <c r="P368" s="21"/>
    </row>
    <row r="369">
      <c r="A369" s="58"/>
      <c r="L369" s="21"/>
      <c r="M369" s="21"/>
      <c r="N369" s="21"/>
      <c r="P369" s="21"/>
    </row>
    <row r="370">
      <c r="A370" s="58"/>
      <c r="L370" s="21"/>
      <c r="M370" s="21"/>
      <c r="N370" s="21"/>
      <c r="P370" s="21"/>
    </row>
    <row r="371">
      <c r="A371" s="58"/>
      <c r="L371" s="21"/>
      <c r="M371" s="21"/>
      <c r="N371" s="21"/>
      <c r="P371" s="21"/>
    </row>
    <row r="372">
      <c r="A372" s="58"/>
      <c r="L372" s="21"/>
      <c r="M372" s="21"/>
      <c r="N372" s="21"/>
      <c r="P372" s="21"/>
    </row>
    <row r="373">
      <c r="A373" s="58"/>
      <c r="L373" s="21"/>
      <c r="M373" s="21"/>
      <c r="N373" s="21"/>
      <c r="P373" s="21"/>
    </row>
    <row r="374">
      <c r="A374" s="58"/>
      <c r="L374" s="21"/>
      <c r="M374" s="21"/>
      <c r="N374" s="21"/>
      <c r="P374" s="21"/>
    </row>
    <row r="375">
      <c r="A375" s="58"/>
      <c r="L375" s="21"/>
      <c r="M375" s="21"/>
      <c r="N375" s="21"/>
      <c r="P375" s="21"/>
    </row>
    <row r="376">
      <c r="A376" s="58"/>
      <c r="L376" s="21"/>
      <c r="M376" s="21"/>
      <c r="N376" s="21"/>
      <c r="P376" s="21"/>
    </row>
    <row r="377">
      <c r="A377" s="58"/>
      <c r="L377" s="21"/>
      <c r="M377" s="21"/>
      <c r="N377" s="21"/>
      <c r="P377" s="21"/>
    </row>
    <row r="378">
      <c r="A378" s="58"/>
      <c r="L378" s="21"/>
      <c r="M378" s="21"/>
      <c r="N378" s="21"/>
      <c r="P378" s="21"/>
    </row>
    <row r="379">
      <c r="A379" s="58"/>
      <c r="L379" s="21"/>
      <c r="M379" s="21"/>
      <c r="N379" s="21"/>
      <c r="P379" s="21"/>
    </row>
    <row r="380">
      <c r="A380" s="58"/>
      <c r="L380" s="21"/>
      <c r="M380" s="21"/>
      <c r="N380" s="21"/>
      <c r="P380" s="21"/>
    </row>
    <row r="381">
      <c r="A381" s="58"/>
      <c r="L381" s="21"/>
      <c r="M381" s="21"/>
      <c r="N381" s="21"/>
      <c r="P381" s="21"/>
    </row>
    <row r="382">
      <c r="A382" s="58"/>
      <c r="L382" s="21"/>
      <c r="M382" s="21"/>
      <c r="N382" s="21"/>
      <c r="P382" s="21"/>
    </row>
    <row r="383">
      <c r="A383" s="58"/>
      <c r="L383" s="21"/>
      <c r="M383" s="21"/>
      <c r="N383" s="21"/>
      <c r="P383" s="21"/>
    </row>
    <row r="384">
      <c r="A384" s="58"/>
      <c r="L384" s="21"/>
      <c r="M384" s="21"/>
      <c r="N384" s="21"/>
      <c r="P384" s="21"/>
    </row>
    <row r="385">
      <c r="A385" s="58"/>
      <c r="L385" s="21"/>
      <c r="M385" s="21"/>
      <c r="N385" s="21"/>
      <c r="P385" s="21"/>
    </row>
    <row r="386">
      <c r="A386" s="58"/>
      <c r="L386" s="21"/>
      <c r="M386" s="21"/>
      <c r="N386" s="21"/>
      <c r="P386" s="21"/>
    </row>
    <row r="387">
      <c r="A387" s="58"/>
      <c r="L387" s="21"/>
      <c r="M387" s="21"/>
      <c r="N387" s="21"/>
      <c r="P387" s="21"/>
    </row>
    <row r="388">
      <c r="A388" s="58"/>
      <c r="L388" s="21"/>
      <c r="M388" s="21"/>
      <c r="N388" s="21"/>
      <c r="P388" s="21"/>
    </row>
    <row r="389">
      <c r="A389" s="58"/>
      <c r="L389" s="21"/>
      <c r="M389" s="21"/>
      <c r="N389" s="21"/>
      <c r="P389" s="21"/>
    </row>
    <row r="390">
      <c r="A390" s="58"/>
      <c r="L390" s="21"/>
      <c r="M390" s="21"/>
      <c r="N390" s="21"/>
      <c r="P390" s="21"/>
    </row>
    <row r="391">
      <c r="A391" s="58"/>
      <c r="L391" s="21"/>
      <c r="M391" s="21"/>
      <c r="N391" s="21"/>
      <c r="P391" s="21"/>
    </row>
    <row r="392">
      <c r="A392" s="58"/>
      <c r="L392" s="21"/>
      <c r="M392" s="21"/>
      <c r="N392" s="21"/>
      <c r="P392" s="21"/>
    </row>
    <row r="393">
      <c r="A393" s="58"/>
      <c r="L393" s="21"/>
      <c r="M393" s="21"/>
      <c r="N393" s="21"/>
      <c r="P393" s="21"/>
    </row>
    <row r="394">
      <c r="A394" s="58"/>
      <c r="L394" s="21"/>
      <c r="M394" s="21"/>
      <c r="N394" s="21"/>
      <c r="P394" s="21"/>
    </row>
    <row r="395">
      <c r="A395" s="58"/>
      <c r="L395" s="21"/>
      <c r="M395" s="21"/>
      <c r="N395" s="21"/>
      <c r="P395" s="21"/>
    </row>
    <row r="396">
      <c r="A396" s="58"/>
      <c r="L396" s="21"/>
      <c r="M396" s="21"/>
      <c r="N396" s="21"/>
      <c r="P396" s="21"/>
    </row>
    <row r="397">
      <c r="A397" s="58"/>
      <c r="L397" s="21"/>
      <c r="M397" s="21"/>
      <c r="N397" s="21"/>
      <c r="P397" s="21"/>
    </row>
    <row r="398">
      <c r="A398" s="58"/>
      <c r="L398" s="21"/>
      <c r="M398" s="21"/>
      <c r="N398" s="21"/>
      <c r="P398" s="21"/>
    </row>
    <row r="399">
      <c r="A399" s="58"/>
      <c r="L399" s="21"/>
      <c r="M399" s="21"/>
      <c r="N399" s="21"/>
      <c r="P399" s="21"/>
    </row>
    <row r="400">
      <c r="A400" s="58"/>
      <c r="L400" s="21"/>
      <c r="M400" s="21"/>
      <c r="N400" s="21"/>
      <c r="P400" s="21"/>
    </row>
    <row r="401">
      <c r="A401" s="58"/>
      <c r="L401" s="21"/>
      <c r="M401" s="21"/>
      <c r="N401" s="21"/>
      <c r="P401" s="21"/>
    </row>
    <row r="402">
      <c r="A402" s="58"/>
      <c r="L402" s="21"/>
      <c r="M402" s="21"/>
      <c r="N402" s="21"/>
      <c r="P402" s="21"/>
    </row>
    <row r="403">
      <c r="A403" s="58"/>
      <c r="L403" s="21"/>
      <c r="M403" s="21"/>
      <c r="N403" s="21"/>
      <c r="P403" s="21"/>
    </row>
    <row r="404">
      <c r="A404" s="58"/>
      <c r="L404" s="21"/>
      <c r="M404" s="21"/>
      <c r="N404" s="21"/>
      <c r="P404" s="21"/>
    </row>
    <row r="405">
      <c r="A405" s="58"/>
      <c r="L405" s="21"/>
      <c r="M405" s="21"/>
      <c r="N405" s="21"/>
      <c r="P405" s="21"/>
    </row>
    <row r="406">
      <c r="A406" s="58"/>
      <c r="L406" s="21"/>
      <c r="M406" s="21"/>
      <c r="N406" s="21"/>
      <c r="P406" s="21"/>
    </row>
    <row r="407">
      <c r="A407" s="58"/>
      <c r="L407" s="21"/>
      <c r="M407" s="21"/>
      <c r="N407" s="21"/>
      <c r="P407" s="21"/>
    </row>
    <row r="408">
      <c r="A408" s="58"/>
      <c r="L408" s="21"/>
      <c r="M408" s="21"/>
      <c r="N408" s="21"/>
      <c r="P408" s="21"/>
    </row>
    <row r="409">
      <c r="A409" s="58"/>
      <c r="L409" s="21"/>
      <c r="M409" s="21"/>
      <c r="N409" s="21"/>
      <c r="P409" s="21"/>
    </row>
    <row r="410">
      <c r="A410" s="58"/>
      <c r="L410" s="21"/>
      <c r="M410" s="21"/>
      <c r="N410" s="21"/>
      <c r="P410" s="21"/>
    </row>
    <row r="411">
      <c r="A411" s="58"/>
      <c r="L411" s="21"/>
      <c r="M411" s="21"/>
      <c r="N411" s="21"/>
      <c r="P411" s="21"/>
    </row>
    <row r="412">
      <c r="A412" s="58"/>
      <c r="L412" s="21"/>
      <c r="M412" s="21"/>
      <c r="N412" s="21"/>
      <c r="P412" s="21"/>
    </row>
    <row r="413">
      <c r="A413" s="58"/>
      <c r="L413" s="21"/>
      <c r="M413" s="21"/>
      <c r="N413" s="21"/>
      <c r="P413" s="21"/>
    </row>
    <row r="414">
      <c r="A414" s="58"/>
      <c r="L414" s="21"/>
      <c r="M414" s="21"/>
      <c r="N414" s="21"/>
      <c r="P414" s="21"/>
    </row>
    <row r="415">
      <c r="A415" s="58"/>
      <c r="L415" s="21"/>
      <c r="M415" s="21"/>
      <c r="N415" s="21"/>
      <c r="P415" s="21"/>
    </row>
    <row r="416">
      <c r="A416" s="58"/>
      <c r="L416" s="21"/>
      <c r="M416" s="21"/>
      <c r="N416" s="21"/>
      <c r="P416" s="21"/>
    </row>
    <row r="417">
      <c r="A417" s="58"/>
      <c r="L417" s="21"/>
      <c r="M417" s="21"/>
      <c r="N417" s="21"/>
      <c r="P417" s="21"/>
    </row>
    <row r="418">
      <c r="A418" s="58"/>
      <c r="L418" s="21"/>
      <c r="M418" s="21"/>
      <c r="N418" s="21"/>
      <c r="P418" s="21"/>
    </row>
    <row r="419">
      <c r="A419" s="58"/>
      <c r="L419" s="21"/>
      <c r="M419" s="21"/>
      <c r="N419" s="21"/>
      <c r="P419" s="21"/>
    </row>
    <row r="420">
      <c r="A420" s="58"/>
      <c r="L420" s="21"/>
      <c r="M420" s="21"/>
      <c r="N420" s="21"/>
      <c r="P420" s="21"/>
    </row>
    <row r="421">
      <c r="A421" s="58"/>
      <c r="L421" s="21"/>
      <c r="M421" s="21"/>
      <c r="N421" s="21"/>
      <c r="P421" s="21"/>
    </row>
    <row r="422">
      <c r="A422" s="58"/>
      <c r="L422" s="21"/>
      <c r="M422" s="21"/>
      <c r="N422" s="21"/>
      <c r="P422" s="21"/>
    </row>
    <row r="423">
      <c r="A423" s="58"/>
      <c r="L423" s="21"/>
      <c r="M423" s="21"/>
      <c r="N423" s="21"/>
      <c r="P423" s="21"/>
    </row>
    <row r="424">
      <c r="A424" s="58"/>
      <c r="L424" s="21"/>
      <c r="M424" s="21"/>
      <c r="N424" s="21"/>
      <c r="P424" s="21"/>
    </row>
    <row r="425">
      <c r="A425" s="58"/>
      <c r="L425" s="21"/>
      <c r="M425" s="21"/>
      <c r="N425" s="21"/>
      <c r="P425" s="21"/>
    </row>
    <row r="426">
      <c r="A426" s="58"/>
      <c r="L426" s="21"/>
      <c r="M426" s="21"/>
      <c r="N426" s="21"/>
      <c r="P426" s="21"/>
    </row>
    <row r="427">
      <c r="A427" s="58"/>
      <c r="L427" s="21"/>
      <c r="M427" s="21"/>
      <c r="N427" s="21"/>
      <c r="P427" s="21"/>
    </row>
    <row r="428">
      <c r="A428" s="58"/>
      <c r="L428" s="21"/>
      <c r="M428" s="21"/>
      <c r="N428" s="21"/>
      <c r="P428" s="21"/>
    </row>
    <row r="429">
      <c r="A429" s="58"/>
      <c r="L429" s="21"/>
      <c r="M429" s="21"/>
      <c r="N429" s="21"/>
      <c r="P429" s="21"/>
    </row>
    <row r="430">
      <c r="A430" s="58"/>
      <c r="L430" s="21"/>
      <c r="M430" s="21"/>
      <c r="N430" s="21"/>
      <c r="P430" s="21"/>
    </row>
    <row r="431">
      <c r="A431" s="58"/>
      <c r="L431" s="21"/>
      <c r="M431" s="21"/>
      <c r="N431" s="21"/>
      <c r="P431" s="21"/>
    </row>
    <row r="432">
      <c r="A432" s="58"/>
      <c r="L432" s="21"/>
      <c r="M432" s="21"/>
      <c r="N432" s="21"/>
      <c r="P432" s="21"/>
    </row>
    <row r="433">
      <c r="A433" s="58"/>
      <c r="L433" s="21"/>
      <c r="M433" s="21"/>
      <c r="N433" s="21"/>
      <c r="P433" s="21"/>
    </row>
    <row r="434">
      <c r="A434" s="58"/>
      <c r="L434" s="21"/>
      <c r="M434" s="21"/>
      <c r="N434" s="21"/>
      <c r="P434" s="21"/>
    </row>
    <row r="435">
      <c r="A435" s="58"/>
      <c r="L435" s="21"/>
      <c r="M435" s="21"/>
      <c r="N435" s="21"/>
      <c r="P435" s="21"/>
    </row>
    <row r="436">
      <c r="A436" s="58"/>
      <c r="L436" s="21"/>
      <c r="M436" s="21"/>
      <c r="N436" s="21"/>
      <c r="P436" s="21"/>
    </row>
    <row r="437">
      <c r="A437" s="58"/>
      <c r="L437" s="21"/>
      <c r="M437" s="21"/>
      <c r="N437" s="21"/>
      <c r="P437" s="21"/>
    </row>
    <row r="438">
      <c r="A438" s="58"/>
      <c r="L438" s="21"/>
      <c r="M438" s="21"/>
      <c r="N438" s="21"/>
      <c r="P438" s="21"/>
    </row>
    <row r="439">
      <c r="A439" s="58"/>
      <c r="L439" s="21"/>
      <c r="M439" s="21"/>
      <c r="N439" s="21"/>
      <c r="P439" s="21"/>
    </row>
    <row r="440">
      <c r="A440" s="58"/>
      <c r="L440" s="21"/>
      <c r="M440" s="21"/>
      <c r="N440" s="21"/>
      <c r="P440" s="21"/>
    </row>
    <row r="441">
      <c r="A441" s="58"/>
      <c r="L441" s="21"/>
      <c r="M441" s="21"/>
      <c r="N441" s="21"/>
      <c r="P441" s="21"/>
    </row>
    <row r="442">
      <c r="A442" s="58"/>
      <c r="L442" s="21"/>
      <c r="M442" s="21"/>
      <c r="N442" s="21"/>
      <c r="P442" s="21"/>
    </row>
    <row r="443">
      <c r="A443" s="58"/>
      <c r="L443" s="21"/>
      <c r="M443" s="21"/>
      <c r="N443" s="21"/>
      <c r="P443" s="21"/>
    </row>
    <row r="444">
      <c r="A444" s="58"/>
      <c r="L444" s="21"/>
      <c r="M444" s="21"/>
      <c r="N444" s="21"/>
      <c r="P444" s="21"/>
    </row>
    <row r="445">
      <c r="A445" s="58"/>
      <c r="L445" s="21"/>
      <c r="M445" s="21"/>
      <c r="N445" s="21"/>
      <c r="P445" s="21"/>
    </row>
    <row r="446">
      <c r="A446" s="58"/>
      <c r="L446" s="21"/>
      <c r="M446" s="21"/>
      <c r="N446" s="21"/>
      <c r="P446" s="21"/>
    </row>
    <row r="447">
      <c r="A447" s="58"/>
      <c r="L447" s="21"/>
      <c r="M447" s="21"/>
      <c r="N447" s="21"/>
      <c r="P447" s="21"/>
    </row>
    <row r="448">
      <c r="A448" s="58"/>
      <c r="L448" s="21"/>
      <c r="M448" s="21"/>
      <c r="N448" s="21"/>
      <c r="P448" s="21"/>
    </row>
    <row r="449">
      <c r="A449" s="58"/>
      <c r="L449" s="21"/>
      <c r="M449" s="21"/>
      <c r="N449" s="21"/>
      <c r="P449" s="21"/>
    </row>
    <row r="450">
      <c r="A450" s="58"/>
      <c r="L450" s="21"/>
      <c r="M450" s="21"/>
      <c r="N450" s="21"/>
      <c r="P450" s="21"/>
    </row>
    <row r="451">
      <c r="A451" s="58"/>
      <c r="L451" s="21"/>
      <c r="M451" s="21"/>
      <c r="N451" s="21"/>
      <c r="P451" s="21"/>
    </row>
    <row r="452">
      <c r="A452" s="58"/>
      <c r="L452" s="21"/>
      <c r="M452" s="21"/>
      <c r="N452" s="21"/>
      <c r="P452" s="21"/>
    </row>
    <row r="453">
      <c r="A453" s="58"/>
      <c r="L453" s="21"/>
      <c r="M453" s="21"/>
      <c r="N453" s="21"/>
      <c r="P453" s="21"/>
    </row>
    <row r="454">
      <c r="A454" s="58"/>
      <c r="L454" s="21"/>
      <c r="M454" s="21"/>
      <c r="N454" s="21"/>
      <c r="P454" s="21"/>
    </row>
    <row r="455">
      <c r="A455" s="58"/>
      <c r="L455" s="21"/>
      <c r="M455" s="21"/>
      <c r="N455" s="21"/>
      <c r="P455" s="21"/>
    </row>
    <row r="456">
      <c r="A456" s="58"/>
      <c r="L456" s="21"/>
      <c r="M456" s="21"/>
      <c r="N456" s="21"/>
      <c r="P456" s="21"/>
    </row>
    <row r="457">
      <c r="A457" s="58"/>
      <c r="L457" s="21"/>
      <c r="M457" s="21"/>
      <c r="N457" s="21"/>
      <c r="P457" s="21"/>
    </row>
    <row r="458">
      <c r="A458" s="58"/>
      <c r="L458" s="21"/>
      <c r="M458" s="21"/>
      <c r="N458" s="21"/>
      <c r="P458" s="21"/>
    </row>
    <row r="459">
      <c r="A459" s="58"/>
      <c r="L459" s="21"/>
      <c r="M459" s="21"/>
      <c r="N459" s="21"/>
      <c r="P459" s="21"/>
    </row>
    <row r="460">
      <c r="A460" s="58"/>
      <c r="L460" s="21"/>
      <c r="M460" s="21"/>
      <c r="N460" s="21"/>
      <c r="P460" s="21"/>
    </row>
    <row r="461">
      <c r="A461" s="58"/>
      <c r="L461" s="21"/>
      <c r="M461" s="21"/>
      <c r="N461" s="21"/>
      <c r="P461" s="21"/>
    </row>
    <row r="462">
      <c r="A462" s="58"/>
      <c r="L462" s="21"/>
      <c r="M462" s="21"/>
      <c r="N462" s="21"/>
      <c r="P462" s="21"/>
    </row>
    <row r="463">
      <c r="A463" s="58"/>
      <c r="L463" s="21"/>
      <c r="M463" s="21"/>
      <c r="N463" s="21"/>
      <c r="P463" s="21"/>
    </row>
    <row r="464">
      <c r="A464" s="58"/>
      <c r="L464" s="21"/>
      <c r="M464" s="21"/>
      <c r="N464" s="21"/>
      <c r="P464" s="21"/>
    </row>
    <row r="465">
      <c r="A465" s="58"/>
      <c r="L465" s="21"/>
      <c r="M465" s="21"/>
      <c r="N465" s="21"/>
      <c r="P465" s="21"/>
    </row>
    <row r="466">
      <c r="A466" s="58"/>
      <c r="L466" s="21"/>
      <c r="M466" s="21"/>
      <c r="N466" s="21"/>
      <c r="P466" s="21"/>
    </row>
    <row r="467">
      <c r="A467" s="58"/>
      <c r="L467" s="21"/>
      <c r="M467" s="21"/>
      <c r="N467" s="21"/>
      <c r="P467" s="21"/>
    </row>
    <row r="468">
      <c r="A468" s="58"/>
      <c r="L468" s="21"/>
      <c r="M468" s="21"/>
      <c r="N468" s="21"/>
      <c r="P468" s="21"/>
    </row>
    <row r="469">
      <c r="A469" s="58"/>
      <c r="L469" s="21"/>
      <c r="M469" s="21"/>
      <c r="N469" s="21"/>
      <c r="P469" s="21"/>
    </row>
    <row r="470">
      <c r="A470" s="58"/>
      <c r="L470" s="21"/>
      <c r="M470" s="21"/>
      <c r="N470" s="21"/>
      <c r="P470" s="21"/>
    </row>
    <row r="471">
      <c r="A471" s="58"/>
      <c r="L471" s="21"/>
      <c r="M471" s="21"/>
      <c r="N471" s="21"/>
      <c r="P471" s="21"/>
    </row>
    <row r="472">
      <c r="A472" s="58"/>
      <c r="L472" s="21"/>
      <c r="M472" s="21"/>
      <c r="N472" s="21"/>
      <c r="P472" s="21"/>
    </row>
    <row r="473">
      <c r="A473" s="58"/>
      <c r="L473" s="21"/>
      <c r="M473" s="21"/>
      <c r="N473" s="21"/>
      <c r="P473" s="21"/>
    </row>
    <row r="474">
      <c r="A474" s="58"/>
      <c r="L474" s="21"/>
      <c r="M474" s="21"/>
      <c r="N474" s="21"/>
      <c r="P474" s="21"/>
    </row>
    <row r="475">
      <c r="A475" s="58"/>
      <c r="L475" s="21"/>
      <c r="M475" s="21"/>
      <c r="N475" s="21"/>
      <c r="P475" s="21"/>
    </row>
    <row r="476">
      <c r="A476" s="58"/>
      <c r="L476" s="21"/>
      <c r="M476" s="21"/>
      <c r="N476" s="21"/>
      <c r="P476" s="21"/>
    </row>
    <row r="477">
      <c r="A477" s="58"/>
      <c r="L477" s="21"/>
      <c r="M477" s="21"/>
      <c r="N477" s="21"/>
      <c r="P477" s="21"/>
    </row>
    <row r="478">
      <c r="A478" s="58"/>
      <c r="L478" s="21"/>
      <c r="M478" s="21"/>
      <c r="N478" s="21"/>
      <c r="P478" s="21"/>
    </row>
    <row r="479">
      <c r="A479" s="58"/>
      <c r="L479" s="21"/>
      <c r="M479" s="21"/>
      <c r="N479" s="21"/>
      <c r="P479" s="21"/>
    </row>
    <row r="480">
      <c r="A480" s="58"/>
      <c r="L480" s="21"/>
      <c r="M480" s="21"/>
      <c r="N480" s="21"/>
      <c r="P480" s="21"/>
    </row>
    <row r="481">
      <c r="A481" s="58"/>
      <c r="L481" s="21"/>
      <c r="M481" s="21"/>
      <c r="N481" s="21"/>
      <c r="P481" s="21"/>
    </row>
    <row r="482">
      <c r="A482" s="58"/>
      <c r="L482" s="21"/>
      <c r="M482" s="21"/>
      <c r="N482" s="21"/>
      <c r="P482" s="21"/>
    </row>
    <row r="483">
      <c r="A483" s="58"/>
      <c r="L483" s="21"/>
      <c r="M483" s="21"/>
      <c r="N483" s="21"/>
      <c r="P483" s="21"/>
    </row>
    <row r="484">
      <c r="A484" s="58"/>
      <c r="L484" s="21"/>
      <c r="M484" s="21"/>
      <c r="N484" s="21"/>
      <c r="P484" s="21"/>
    </row>
    <row r="485">
      <c r="A485" s="58"/>
      <c r="L485" s="21"/>
      <c r="M485" s="21"/>
      <c r="N485" s="21"/>
      <c r="P485" s="21"/>
    </row>
    <row r="486">
      <c r="A486" s="58"/>
      <c r="L486" s="21"/>
      <c r="M486" s="21"/>
      <c r="N486" s="21"/>
      <c r="P486" s="21"/>
    </row>
    <row r="487">
      <c r="A487" s="58"/>
      <c r="L487" s="21"/>
      <c r="M487" s="21"/>
      <c r="N487" s="21"/>
      <c r="P487" s="21"/>
    </row>
    <row r="488">
      <c r="A488" s="58"/>
      <c r="L488" s="21"/>
      <c r="M488" s="21"/>
      <c r="N488" s="21"/>
      <c r="P488" s="21"/>
    </row>
    <row r="489">
      <c r="A489" s="58"/>
      <c r="L489" s="21"/>
      <c r="M489" s="21"/>
      <c r="N489" s="21"/>
      <c r="P489" s="21"/>
    </row>
    <row r="490">
      <c r="A490" s="58"/>
      <c r="L490" s="21"/>
      <c r="M490" s="21"/>
      <c r="N490" s="21"/>
      <c r="P490" s="21"/>
    </row>
    <row r="491">
      <c r="A491" s="58"/>
      <c r="L491" s="21"/>
      <c r="M491" s="21"/>
      <c r="N491" s="21"/>
      <c r="P491" s="21"/>
    </row>
    <row r="492">
      <c r="A492" s="58"/>
      <c r="L492" s="21"/>
      <c r="M492" s="21"/>
      <c r="N492" s="21"/>
      <c r="P492" s="21"/>
    </row>
    <row r="493">
      <c r="A493" s="58"/>
      <c r="L493" s="21"/>
      <c r="M493" s="21"/>
      <c r="N493" s="21"/>
      <c r="P493" s="21"/>
    </row>
    <row r="494">
      <c r="A494" s="58"/>
      <c r="L494" s="21"/>
      <c r="M494" s="21"/>
      <c r="N494" s="21"/>
      <c r="P494" s="21"/>
    </row>
    <row r="495">
      <c r="A495" s="58"/>
      <c r="L495" s="21"/>
      <c r="M495" s="21"/>
      <c r="N495" s="21"/>
      <c r="P495" s="21"/>
    </row>
    <row r="496">
      <c r="A496" s="58"/>
      <c r="L496" s="21"/>
      <c r="M496" s="21"/>
      <c r="N496" s="21"/>
      <c r="P496" s="21"/>
    </row>
    <row r="497">
      <c r="A497" s="58"/>
      <c r="L497" s="21"/>
      <c r="M497" s="21"/>
      <c r="N497" s="21"/>
      <c r="P497" s="21"/>
    </row>
    <row r="498">
      <c r="A498" s="58"/>
      <c r="L498" s="21"/>
      <c r="M498" s="21"/>
      <c r="N498" s="21"/>
      <c r="P498" s="21"/>
    </row>
    <row r="499">
      <c r="A499" s="58"/>
      <c r="L499" s="21"/>
      <c r="M499" s="21"/>
      <c r="N499" s="21"/>
      <c r="P499" s="21"/>
    </row>
    <row r="500">
      <c r="A500" s="58"/>
      <c r="L500" s="21"/>
      <c r="M500" s="21"/>
      <c r="N500" s="21"/>
      <c r="P500" s="21"/>
    </row>
    <row r="501">
      <c r="A501" s="58"/>
      <c r="L501" s="21"/>
      <c r="M501" s="21"/>
      <c r="N501" s="21"/>
      <c r="P501" s="21"/>
    </row>
    <row r="502">
      <c r="A502" s="58"/>
      <c r="L502" s="21"/>
      <c r="M502" s="21"/>
      <c r="N502" s="21"/>
      <c r="P502" s="21"/>
    </row>
    <row r="503">
      <c r="A503" s="58"/>
      <c r="L503" s="21"/>
      <c r="M503" s="21"/>
      <c r="N503" s="21"/>
      <c r="P503" s="21"/>
    </row>
    <row r="504">
      <c r="A504" s="58"/>
      <c r="L504" s="21"/>
      <c r="M504" s="21"/>
      <c r="N504" s="21"/>
      <c r="P504" s="21"/>
    </row>
    <row r="505">
      <c r="A505" s="58"/>
      <c r="L505" s="21"/>
      <c r="M505" s="21"/>
      <c r="N505" s="21"/>
      <c r="P505" s="21"/>
    </row>
    <row r="506">
      <c r="A506" s="58"/>
      <c r="L506" s="21"/>
      <c r="M506" s="21"/>
      <c r="N506" s="21"/>
      <c r="P506" s="21"/>
    </row>
    <row r="507">
      <c r="A507" s="58"/>
      <c r="L507" s="21"/>
      <c r="M507" s="21"/>
      <c r="N507" s="21"/>
      <c r="P507" s="21"/>
    </row>
    <row r="508">
      <c r="A508" s="58"/>
      <c r="L508" s="21"/>
      <c r="M508" s="21"/>
      <c r="N508" s="21"/>
      <c r="P508" s="21"/>
    </row>
    <row r="509">
      <c r="A509" s="58"/>
      <c r="L509" s="21"/>
      <c r="M509" s="21"/>
      <c r="N509" s="21"/>
      <c r="P509" s="21"/>
    </row>
    <row r="510">
      <c r="A510" s="58"/>
      <c r="L510" s="21"/>
      <c r="M510" s="21"/>
      <c r="N510" s="21"/>
      <c r="P510" s="21"/>
    </row>
    <row r="511">
      <c r="A511" s="58"/>
      <c r="L511" s="21"/>
      <c r="M511" s="21"/>
      <c r="N511" s="21"/>
      <c r="P511" s="21"/>
    </row>
    <row r="512">
      <c r="A512" s="58"/>
      <c r="L512" s="21"/>
      <c r="M512" s="21"/>
      <c r="N512" s="21"/>
      <c r="P512" s="21"/>
    </row>
    <row r="513">
      <c r="A513" s="58"/>
      <c r="L513" s="21"/>
      <c r="M513" s="21"/>
      <c r="N513" s="21"/>
      <c r="P513" s="21"/>
    </row>
    <row r="514">
      <c r="A514" s="58"/>
      <c r="L514" s="21"/>
      <c r="M514" s="21"/>
      <c r="N514" s="21"/>
      <c r="P514" s="21"/>
    </row>
    <row r="515">
      <c r="A515" s="58"/>
      <c r="L515" s="21"/>
      <c r="M515" s="21"/>
      <c r="N515" s="21"/>
      <c r="P515" s="21"/>
    </row>
    <row r="516">
      <c r="A516" s="58"/>
      <c r="L516" s="21"/>
      <c r="M516" s="21"/>
      <c r="N516" s="21"/>
      <c r="P516" s="21"/>
    </row>
    <row r="517">
      <c r="A517" s="58"/>
      <c r="L517" s="21"/>
      <c r="M517" s="21"/>
      <c r="N517" s="21"/>
      <c r="P517" s="21"/>
    </row>
    <row r="518">
      <c r="A518" s="58"/>
      <c r="L518" s="21"/>
      <c r="M518" s="21"/>
      <c r="N518" s="21"/>
      <c r="P518" s="21"/>
    </row>
    <row r="519">
      <c r="A519" s="58"/>
      <c r="L519" s="21"/>
      <c r="M519" s="21"/>
      <c r="N519" s="21"/>
      <c r="P519" s="21"/>
    </row>
    <row r="520">
      <c r="A520" s="58"/>
      <c r="L520" s="21"/>
      <c r="M520" s="21"/>
      <c r="N520" s="21"/>
      <c r="P520" s="21"/>
    </row>
    <row r="521">
      <c r="A521" s="58"/>
      <c r="L521" s="21"/>
      <c r="M521" s="21"/>
      <c r="N521" s="21"/>
      <c r="P521" s="21"/>
    </row>
    <row r="522">
      <c r="A522" s="58"/>
      <c r="L522" s="21"/>
      <c r="M522" s="21"/>
      <c r="N522" s="21"/>
      <c r="P522" s="21"/>
    </row>
    <row r="523">
      <c r="A523" s="58"/>
      <c r="L523" s="21"/>
      <c r="M523" s="21"/>
      <c r="N523" s="21"/>
      <c r="P523" s="21"/>
    </row>
    <row r="524">
      <c r="A524" s="58"/>
      <c r="L524" s="21"/>
      <c r="M524" s="21"/>
      <c r="N524" s="21"/>
      <c r="P524" s="21"/>
    </row>
    <row r="525">
      <c r="A525" s="58"/>
      <c r="L525" s="21"/>
      <c r="M525" s="21"/>
      <c r="N525" s="21"/>
      <c r="P525" s="21"/>
    </row>
    <row r="526">
      <c r="A526" s="58"/>
      <c r="L526" s="21"/>
      <c r="M526" s="21"/>
      <c r="N526" s="21"/>
      <c r="P526" s="21"/>
    </row>
    <row r="527">
      <c r="A527" s="58"/>
      <c r="L527" s="21"/>
      <c r="M527" s="21"/>
      <c r="N527" s="21"/>
      <c r="P527" s="21"/>
    </row>
    <row r="528">
      <c r="A528" s="58"/>
      <c r="L528" s="21"/>
      <c r="M528" s="21"/>
      <c r="N528" s="21"/>
      <c r="P528" s="21"/>
    </row>
    <row r="529">
      <c r="A529" s="58"/>
      <c r="L529" s="21"/>
      <c r="M529" s="21"/>
      <c r="N529" s="21"/>
      <c r="P529" s="21"/>
    </row>
    <row r="530">
      <c r="A530" s="58"/>
      <c r="L530" s="21"/>
      <c r="M530" s="21"/>
      <c r="N530" s="21"/>
      <c r="P530" s="21"/>
    </row>
    <row r="531">
      <c r="A531" s="58"/>
      <c r="L531" s="21"/>
      <c r="M531" s="21"/>
      <c r="N531" s="21"/>
      <c r="P531" s="21"/>
    </row>
    <row r="532">
      <c r="A532" s="58"/>
      <c r="L532" s="21"/>
      <c r="M532" s="21"/>
      <c r="N532" s="21"/>
      <c r="P532" s="21"/>
    </row>
    <row r="533">
      <c r="A533" s="58"/>
      <c r="L533" s="21"/>
      <c r="M533" s="21"/>
      <c r="N533" s="21"/>
      <c r="P533" s="21"/>
    </row>
    <row r="534">
      <c r="A534" s="58"/>
      <c r="L534" s="21"/>
      <c r="M534" s="21"/>
      <c r="N534" s="21"/>
      <c r="P534" s="21"/>
    </row>
    <row r="535">
      <c r="A535" s="58"/>
      <c r="L535" s="21"/>
      <c r="M535" s="21"/>
      <c r="N535" s="21"/>
      <c r="P535" s="21"/>
    </row>
    <row r="536">
      <c r="A536" s="58"/>
      <c r="L536" s="21"/>
      <c r="M536" s="21"/>
      <c r="N536" s="21"/>
      <c r="P536" s="21"/>
    </row>
    <row r="537">
      <c r="A537" s="58"/>
      <c r="L537" s="21"/>
      <c r="M537" s="21"/>
      <c r="N537" s="21"/>
      <c r="P537" s="21"/>
    </row>
    <row r="538">
      <c r="A538" s="58"/>
      <c r="L538" s="21"/>
      <c r="M538" s="21"/>
      <c r="N538" s="21"/>
      <c r="P538" s="21"/>
    </row>
    <row r="539">
      <c r="A539" s="58"/>
      <c r="L539" s="21"/>
      <c r="M539" s="21"/>
      <c r="N539" s="21"/>
      <c r="P539" s="21"/>
    </row>
    <row r="540">
      <c r="A540" s="58"/>
      <c r="L540" s="21"/>
      <c r="M540" s="21"/>
      <c r="N540" s="21"/>
      <c r="P540" s="21"/>
    </row>
    <row r="541">
      <c r="A541" s="58"/>
      <c r="L541" s="21"/>
      <c r="M541" s="21"/>
      <c r="N541" s="21"/>
      <c r="P541" s="21"/>
    </row>
    <row r="542">
      <c r="A542" s="58"/>
      <c r="L542" s="21"/>
      <c r="M542" s="21"/>
      <c r="N542" s="21"/>
      <c r="P542" s="21"/>
    </row>
    <row r="543">
      <c r="A543" s="58"/>
      <c r="L543" s="21"/>
      <c r="M543" s="21"/>
      <c r="N543" s="21"/>
      <c r="P543" s="21"/>
    </row>
    <row r="544">
      <c r="A544" s="58"/>
      <c r="L544" s="21"/>
      <c r="M544" s="21"/>
      <c r="N544" s="21"/>
      <c r="P544" s="21"/>
    </row>
    <row r="545">
      <c r="A545" s="58"/>
      <c r="L545" s="21"/>
      <c r="M545" s="21"/>
      <c r="N545" s="21"/>
      <c r="P545" s="21"/>
    </row>
    <row r="546">
      <c r="A546" s="58"/>
      <c r="L546" s="21"/>
      <c r="M546" s="21"/>
      <c r="N546" s="21"/>
      <c r="P546" s="21"/>
    </row>
    <row r="547">
      <c r="A547" s="58"/>
      <c r="L547" s="21"/>
      <c r="M547" s="21"/>
      <c r="N547" s="21"/>
      <c r="P547" s="21"/>
    </row>
    <row r="548">
      <c r="A548" s="58"/>
      <c r="L548" s="21"/>
      <c r="M548" s="21"/>
      <c r="N548" s="21"/>
      <c r="P548" s="21"/>
    </row>
    <row r="549">
      <c r="A549" s="58"/>
      <c r="L549" s="21"/>
      <c r="M549" s="21"/>
      <c r="N549" s="21"/>
      <c r="P549" s="21"/>
    </row>
    <row r="550">
      <c r="A550" s="58"/>
      <c r="L550" s="21"/>
      <c r="M550" s="21"/>
      <c r="N550" s="21"/>
      <c r="P550" s="21"/>
    </row>
    <row r="551">
      <c r="A551" s="58"/>
      <c r="L551" s="21"/>
      <c r="M551" s="21"/>
      <c r="N551" s="21"/>
      <c r="P551" s="21"/>
    </row>
    <row r="552">
      <c r="A552" s="58"/>
      <c r="L552" s="21"/>
      <c r="M552" s="21"/>
      <c r="N552" s="21"/>
      <c r="P552" s="21"/>
    </row>
    <row r="553">
      <c r="A553" s="58"/>
      <c r="L553" s="21"/>
      <c r="M553" s="21"/>
      <c r="N553" s="21"/>
      <c r="P553" s="21"/>
    </row>
    <row r="554">
      <c r="A554" s="58"/>
      <c r="L554" s="21"/>
      <c r="M554" s="21"/>
      <c r="N554" s="21"/>
      <c r="P554" s="21"/>
    </row>
    <row r="555">
      <c r="A555" s="58"/>
      <c r="L555" s="21"/>
      <c r="M555" s="21"/>
      <c r="N555" s="21"/>
      <c r="P555" s="21"/>
    </row>
    <row r="556">
      <c r="A556" s="58"/>
      <c r="L556" s="21"/>
      <c r="M556" s="21"/>
      <c r="N556" s="21"/>
      <c r="P556" s="21"/>
    </row>
    <row r="557">
      <c r="A557" s="58"/>
      <c r="L557" s="21"/>
      <c r="M557" s="21"/>
      <c r="N557" s="21"/>
      <c r="P557" s="21"/>
    </row>
    <row r="558">
      <c r="A558" s="58"/>
      <c r="L558" s="21"/>
      <c r="M558" s="21"/>
      <c r="N558" s="21"/>
      <c r="P558" s="21"/>
    </row>
    <row r="559">
      <c r="A559" s="58"/>
      <c r="L559" s="21"/>
      <c r="M559" s="21"/>
      <c r="N559" s="21"/>
      <c r="P559" s="21"/>
    </row>
    <row r="560">
      <c r="A560" s="58"/>
      <c r="L560" s="21"/>
      <c r="M560" s="21"/>
      <c r="N560" s="21"/>
      <c r="P560" s="21"/>
    </row>
    <row r="561">
      <c r="A561" s="58"/>
      <c r="L561" s="21"/>
      <c r="M561" s="21"/>
      <c r="N561" s="21"/>
      <c r="P561" s="21"/>
    </row>
    <row r="562">
      <c r="A562" s="58"/>
      <c r="L562" s="21"/>
      <c r="M562" s="21"/>
      <c r="N562" s="21"/>
      <c r="P562" s="21"/>
    </row>
    <row r="563">
      <c r="A563" s="58"/>
      <c r="L563" s="21"/>
      <c r="M563" s="21"/>
      <c r="N563" s="21"/>
      <c r="P563" s="21"/>
    </row>
    <row r="564">
      <c r="A564" s="58"/>
      <c r="L564" s="21"/>
      <c r="M564" s="21"/>
      <c r="N564" s="21"/>
      <c r="P564" s="21"/>
    </row>
    <row r="565">
      <c r="A565" s="58"/>
      <c r="L565" s="21"/>
      <c r="M565" s="21"/>
      <c r="N565" s="21"/>
      <c r="P565" s="21"/>
    </row>
    <row r="566">
      <c r="A566" s="58"/>
      <c r="L566" s="21"/>
      <c r="M566" s="21"/>
      <c r="N566" s="21"/>
      <c r="P566" s="21"/>
    </row>
    <row r="567">
      <c r="A567" s="58"/>
      <c r="L567" s="21"/>
      <c r="M567" s="21"/>
      <c r="N567" s="21"/>
      <c r="P567" s="21"/>
    </row>
    <row r="568">
      <c r="A568" s="58"/>
      <c r="L568" s="21"/>
      <c r="M568" s="21"/>
      <c r="N568" s="21"/>
      <c r="P568" s="21"/>
    </row>
    <row r="569">
      <c r="A569" s="58"/>
      <c r="L569" s="21"/>
      <c r="M569" s="21"/>
      <c r="N569" s="21"/>
      <c r="P569" s="21"/>
    </row>
    <row r="570">
      <c r="A570" s="58"/>
      <c r="L570" s="21"/>
      <c r="M570" s="21"/>
      <c r="N570" s="21"/>
      <c r="P570" s="21"/>
    </row>
    <row r="571">
      <c r="A571" s="58"/>
      <c r="L571" s="21"/>
      <c r="M571" s="21"/>
      <c r="N571" s="21"/>
      <c r="P571" s="21"/>
    </row>
    <row r="572">
      <c r="A572" s="58"/>
      <c r="L572" s="21"/>
      <c r="M572" s="21"/>
      <c r="N572" s="21"/>
      <c r="P572" s="21"/>
    </row>
    <row r="573">
      <c r="A573" s="58"/>
      <c r="L573" s="21"/>
      <c r="M573" s="21"/>
      <c r="N573" s="21"/>
      <c r="P573" s="21"/>
    </row>
    <row r="574">
      <c r="A574" s="58"/>
      <c r="L574" s="21"/>
      <c r="M574" s="21"/>
      <c r="N574" s="21"/>
      <c r="P574" s="21"/>
    </row>
    <row r="575">
      <c r="A575" s="58"/>
      <c r="L575" s="21"/>
      <c r="M575" s="21"/>
      <c r="N575" s="21"/>
      <c r="P575" s="21"/>
    </row>
    <row r="576">
      <c r="A576" s="58"/>
      <c r="L576" s="21"/>
      <c r="M576" s="21"/>
      <c r="N576" s="21"/>
      <c r="P576" s="21"/>
    </row>
    <row r="577">
      <c r="A577" s="58"/>
      <c r="L577" s="21"/>
      <c r="M577" s="21"/>
      <c r="N577" s="21"/>
      <c r="P577" s="21"/>
    </row>
    <row r="578">
      <c r="A578" s="58"/>
      <c r="L578" s="21"/>
      <c r="M578" s="21"/>
      <c r="N578" s="21"/>
      <c r="P578" s="21"/>
    </row>
    <row r="579">
      <c r="A579" s="58"/>
      <c r="L579" s="21"/>
      <c r="M579" s="21"/>
      <c r="N579" s="21"/>
      <c r="P579" s="21"/>
    </row>
    <row r="580">
      <c r="A580" s="58"/>
      <c r="L580" s="21"/>
      <c r="M580" s="21"/>
      <c r="N580" s="21"/>
      <c r="P580" s="21"/>
    </row>
    <row r="581">
      <c r="A581" s="58"/>
      <c r="L581" s="21"/>
      <c r="M581" s="21"/>
      <c r="N581" s="21"/>
      <c r="P581" s="21"/>
    </row>
    <row r="582">
      <c r="A582" s="58"/>
      <c r="L582" s="21"/>
      <c r="M582" s="21"/>
      <c r="N582" s="21"/>
      <c r="P582" s="21"/>
    </row>
    <row r="583">
      <c r="A583" s="58"/>
      <c r="L583" s="21"/>
      <c r="M583" s="21"/>
      <c r="N583" s="21"/>
      <c r="P583" s="21"/>
    </row>
    <row r="584">
      <c r="A584" s="58"/>
      <c r="L584" s="21"/>
      <c r="M584" s="21"/>
      <c r="N584" s="21"/>
      <c r="P584" s="21"/>
    </row>
    <row r="585">
      <c r="A585" s="58"/>
      <c r="L585" s="21"/>
      <c r="M585" s="21"/>
      <c r="N585" s="21"/>
      <c r="P585" s="21"/>
    </row>
    <row r="586">
      <c r="A586" s="58"/>
      <c r="L586" s="21"/>
      <c r="M586" s="21"/>
      <c r="N586" s="21"/>
      <c r="P586" s="21"/>
    </row>
    <row r="587">
      <c r="A587" s="58"/>
      <c r="L587" s="21"/>
      <c r="M587" s="21"/>
      <c r="N587" s="21"/>
      <c r="P587" s="21"/>
    </row>
    <row r="588">
      <c r="A588" s="58"/>
      <c r="L588" s="21"/>
      <c r="M588" s="21"/>
      <c r="N588" s="21"/>
      <c r="P588" s="21"/>
    </row>
    <row r="589">
      <c r="A589" s="58"/>
      <c r="L589" s="21"/>
      <c r="M589" s="21"/>
      <c r="N589" s="21"/>
      <c r="P589" s="21"/>
    </row>
    <row r="590">
      <c r="A590" s="58"/>
      <c r="L590" s="21"/>
      <c r="M590" s="21"/>
      <c r="N590" s="21"/>
      <c r="P590" s="21"/>
    </row>
    <row r="591">
      <c r="A591" s="58"/>
      <c r="L591" s="21"/>
      <c r="M591" s="21"/>
      <c r="N591" s="21"/>
      <c r="P591" s="21"/>
    </row>
    <row r="592">
      <c r="A592" s="58"/>
      <c r="L592" s="21"/>
      <c r="M592" s="21"/>
      <c r="N592" s="21"/>
      <c r="P592" s="21"/>
    </row>
    <row r="593">
      <c r="A593" s="58"/>
      <c r="L593" s="21"/>
      <c r="M593" s="21"/>
      <c r="N593" s="21"/>
      <c r="P593" s="21"/>
    </row>
    <row r="594">
      <c r="A594" s="58"/>
      <c r="L594" s="21"/>
      <c r="M594" s="21"/>
      <c r="N594" s="21"/>
      <c r="P594" s="21"/>
    </row>
    <row r="595">
      <c r="A595" s="58"/>
      <c r="L595" s="21"/>
      <c r="M595" s="21"/>
      <c r="N595" s="21"/>
      <c r="P595" s="21"/>
    </row>
    <row r="596">
      <c r="A596" s="58"/>
      <c r="L596" s="21"/>
      <c r="M596" s="21"/>
      <c r="N596" s="21"/>
      <c r="P596" s="21"/>
    </row>
    <row r="597">
      <c r="A597" s="58"/>
      <c r="L597" s="21"/>
      <c r="M597" s="21"/>
      <c r="N597" s="21"/>
      <c r="P597" s="21"/>
    </row>
    <row r="598">
      <c r="A598" s="58"/>
      <c r="L598" s="21"/>
      <c r="M598" s="21"/>
      <c r="N598" s="21"/>
      <c r="P598" s="21"/>
    </row>
    <row r="599">
      <c r="A599" s="58"/>
      <c r="L599" s="21"/>
      <c r="M599" s="21"/>
      <c r="N599" s="21"/>
      <c r="P599" s="21"/>
    </row>
    <row r="600">
      <c r="A600" s="58"/>
      <c r="L600" s="21"/>
      <c r="M600" s="21"/>
      <c r="N600" s="21"/>
      <c r="P600" s="21"/>
    </row>
    <row r="601">
      <c r="A601" s="58"/>
      <c r="L601" s="21"/>
      <c r="M601" s="21"/>
      <c r="N601" s="21"/>
      <c r="P601" s="21"/>
    </row>
    <row r="602">
      <c r="A602" s="58"/>
      <c r="L602" s="21"/>
      <c r="M602" s="21"/>
      <c r="N602" s="21"/>
      <c r="P602" s="21"/>
    </row>
    <row r="603">
      <c r="A603" s="58"/>
      <c r="L603" s="21"/>
      <c r="M603" s="21"/>
      <c r="N603" s="21"/>
      <c r="P603" s="21"/>
    </row>
    <row r="604">
      <c r="A604" s="58"/>
      <c r="L604" s="21"/>
      <c r="M604" s="21"/>
      <c r="N604" s="21"/>
      <c r="P604" s="21"/>
    </row>
    <row r="605">
      <c r="A605" s="58"/>
      <c r="L605" s="21"/>
      <c r="M605" s="21"/>
      <c r="N605" s="21"/>
      <c r="P605" s="21"/>
    </row>
    <row r="606">
      <c r="A606" s="58"/>
      <c r="L606" s="21"/>
      <c r="M606" s="21"/>
      <c r="N606" s="21"/>
      <c r="P606" s="21"/>
    </row>
    <row r="607">
      <c r="A607" s="58"/>
      <c r="L607" s="21"/>
      <c r="M607" s="21"/>
      <c r="N607" s="21"/>
      <c r="P607" s="21"/>
    </row>
    <row r="608">
      <c r="A608" s="58"/>
      <c r="L608" s="21"/>
      <c r="M608" s="21"/>
      <c r="N608" s="21"/>
      <c r="P608" s="21"/>
    </row>
    <row r="609">
      <c r="A609" s="58"/>
      <c r="L609" s="21"/>
      <c r="M609" s="21"/>
      <c r="N609" s="21"/>
      <c r="P609" s="21"/>
    </row>
    <row r="610">
      <c r="A610" s="58"/>
      <c r="L610" s="21"/>
      <c r="M610" s="21"/>
      <c r="N610" s="21"/>
      <c r="P610" s="21"/>
    </row>
    <row r="611">
      <c r="A611" s="58"/>
      <c r="L611" s="21"/>
      <c r="M611" s="21"/>
      <c r="N611" s="21"/>
      <c r="P611" s="21"/>
    </row>
    <row r="612">
      <c r="A612" s="58"/>
      <c r="L612" s="21"/>
      <c r="M612" s="21"/>
      <c r="N612" s="21"/>
      <c r="P612" s="21"/>
    </row>
    <row r="613">
      <c r="A613" s="58"/>
      <c r="L613" s="21"/>
      <c r="M613" s="21"/>
      <c r="N613" s="21"/>
      <c r="P613" s="21"/>
    </row>
    <row r="614">
      <c r="A614" s="58"/>
      <c r="L614" s="21"/>
      <c r="M614" s="21"/>
      <c r="N614" s="21"/>
      <c r="P614" s="21"/>
    </row>
    <row r="615">
      <c r="A615" s="58"/>
      <c r="L615" s="21"/>
      <c r="M615" s="21"/>
      <c r="N615" s="21"/>
      <c r="P615" s="21"/>
    </row>
    <row r="616">
      <c r="A616" s="58"/>
      <c r="L616" s="21"/>
      <c r="M616" s="21"/>
      <c r="N616" s="21"/>
      <c r="P616" s="21"/>
    </row>
    <row r="617">
      <c r="A617" s="58"/>
      <c r="L617" s="21"/>
      <c r="M617" s="21"/>
      <c r="N617" s="21"/>
      <c r="P617" s="21"/>
    </row>
    <row r="618">
      <c r="A618" s="58"/>
      <c r="L618" s="21"/>
      <c r="M618" s="21"/>
      <c r="N618" s="21"/>
      <c r="P618" s="21"/>
    </row>
    <row r="619">
      <c r="A619" s="58"/>
      <c r="L619" s="21"/>
      <c r="M619" s="21"/>
      <c r="N619" s="21"/>
      <c r="P619" s="21"/>
    </row>
    <row r="620">
      <c r="A620" s="58"/>
      <c r="L620" s="21"/>
      <c r="M620" s="21"/>
      <c r="N620" s="21"/>
      <c r="P620" s="21"/>
    </row>
    <row r="621">
      <c r="A621" s="58"/>
      <c r="L621" s="21"/>
      <c r="M621" s="21"/>
      <c r="N621" s="21"/>
      <c r="P621" s="21"/>
    </row>
    <row r="622">
      <c r="A622" s="58"/>
      <c r="L622" s="21"/>
      <c r="M622" s="21"/>
      <c r="N622" s="21"/>
      <c r="P622" s="21"/>
    </row>
    <row r="623">
      <c r="A623" s="58"/>
      <c r="L623" s="21"/>
      <c r="M623" s="21"/>
      <c r="N623" s="21"/>
      <c r="P623" s="21"/>
    </row>
    <row r="624">
      <c r="A624" s="58"/>
      <c r="L624" s="21"/>
      <c r="M624" s="21"/>
      <c r="N624" s="21"/>
      <c r="P624" s="21"/>
    </row>
    <row r="625">
      <c r="A625" s="58"/>
      <c r="L625" s="21"/>
      <c r="M625" s="21"/>
      <c r="N625" s="21"/>
      <c r="P625" s="21"/>
    </row>
    <row r="626">
      <c r="A626" s="58"/>
      <c r="L626" s="21"/>
      <c r="M626" s="21"/>
      <c r="N626" s="21"/>
      <c r="P626" s="21"/>
    </row>
    <row r="627">
      <c r="A627" s="58"/>
      <c r="L627" s="21"/>
      <c r="M627" s="21"/>
      <c r="N627" s="21"/>
      <c r="P627" s="21"/>
    </row>
    <row r="628">
      <c r="A628" s="58"/>
      <c r="L628" s="21"/>
      <c r="M628" s="21"/>
      <c r="N628" s="21"/>
      <c r="P628" s="21"/>
    </row>
    <row r="629">
      <c r="A629" s="58"/>
      <c r="L629" s="21"/>
      <c r="M629" s="21"/>
      <c r="N629" s="21"/>
      <c r="P629" s="21"/>
    </row>
    <row r="630">
      <c r="A630" s="58"/>
      <c r="L630" s="21"/>
      <c r="M630" s="21"/>
      <c r="N630" s="21"/>
      <c r="P630" s="21"/>
    </row>
    <row r="631">
      <c r="A631" s="58"/>
      <c r="L631" s="21"/>
      <c r="M631" s="21"/>
      <c r="N631" s="21"/>
      <c r="P631" s="21"/>
    </row>
    <row r="632">
      <c r="A632" s="58"/>
      <c r="L632" s="21"/>
      <c r="M632" s="21"/>
      <c r="N632" s="21"/>
      <c r="P632" s="21"/>
    </row>
    <row r="633">
      <c r="A633" s="58"/>
      <c r="L633" s="21"/>
      <c r="M633" s="21"/>
      <c r="N633" s="21"/>
      <c r="P633" s="21"/>
    </row>
    <row r="634">
      <c r="A634" s="58"/>
      <c r="L634" s="21"/>
      <c r="M634" s="21"/>
      <c r="N634" s="21"/>
      <c r="P634" s="21"/>
    </row>
    <row r="635">
      <c r="A635" s="58"/>
      <c r="L635" s="21"/>
      <c r="M635" s="21"/>
      <c r="N635" s="21"/>
      <c r="P635" s="21"/>
    </row>
    <row r="636">
      <c r="A636" s="58"/>
      <c r="L636" s="21"/>
      <c r="M636" s="21"/>
      <c r="N636" s="21"/>
      <c r="P636" s="21"/>
    </row>
    <row r="637">
      <c r="A637" s="58"/>
      <c r="L637" s="21"/>
      <c r="M637" s="21"/>
      <c r="N637" s="21"/>
      <c r="P637" s="21"/>
    </row>
    <row r="638">
      <c r="A638" s="58"/>
      <c r="L638" s="21"/>
      <c r="M638" s="21"/>
      <c r="N638" s="21"/>
      <c r="P638" s="21"/>
    </row>
    <row r="639">
      <c r="A639" s="58"/>
      <c r="L639" s="21"/>
      <c r="M639" s="21"/>
      <c r="N639" s="21"/>
      <c r="P639" s="21"/>
    </row>
    <row r="640">
      <c r="A640" s="58"/>
      <c r="L640" s="21"/>
      <c r="M640" s="21"/>
      <c r="N640" s="21"/>
      <c r="P640" s="21"/>
    </row>
    <row r="641">
      <c r="A641" s="58"/>
      <c r="L641" s="21"/>
      <c r="M641" s="21"/>
      <c r="N641" s="21"/>
      <c r="P641" s="21"/>
    </row>
    <row r="642">
      <c r="A642" s="58"/>
      <c r="L642" s="21"/>
      <c r="M642" s="21"/>
      <c r="N642" s="21"/>
      <c r="P642" s="21"/>
    </row>
    <row r="643">
      <c r="A643" s="58"/>
      <c r="L643" s="21"/>
      <c r="M643" s="21"/>
      <c r="N643" s="21"/>
      <c r="P643" s="21"/>
    </row>
    <row r="644">
      <c r="A644" s="58"/>
      <c r="L644" s="21"/>
      <c r="M644" s="21"/>
      <c r="N644" s="21"/>
      <c r="P644" s="21"/>
    </row>
    <row r="645">
      <c r="A645" s="58"/>
      <c r="L645" s="21"/>
      <c r="M645" s="21"/>
      <c r="N645" s="21"/>
      <c r="P645" s="21"/>
    </row>
    <row r="646">
      <c r="A646" s="58"/>
      <c r="L646" s="21"/>
      <c r="M646" s="21"/>
      <c r="N646" s="21"/>
      <c r="P646" s="21"/>
    </row>
    <row r="647">
      <c r="A647" s="58"/>
      <c r="L647" s="21"/>
      <c r="M647" s="21"/>
      <c r="N647" s="21"/>
      <c r="P647" s="21"/>
    </row>
    <row r="648">
      <c r="A648" s="58"/>
      <c r="L648" s="21"/>
      <c r="M648" s="21"/>
      <c r="N648" s="21"/>
      <c r="P648" s="21"/>
    </row>
    <row r="649">
      <c r="A649" s="58"/>
      <c r="L649" s="21"/>
      <c r="M649" s="21"/>
      <c r="N649" s="21"/>
      <c r="P649" s="21"/>
    </row>
    <row r="650">
      <c r="A650" s="58"/>
      <c r="L650" s="21"/>
      <c r="M650" s="21"/>
      <c r="N650" s="21"/>
      <c r="P650" s="21"/>
    </row>
    <row r="651">
      <c r="A651" s="58"/>
      <c r="L651" s="21"/>
      <c r="M651" s="21"/>
      <c r="N651" s="21"/>
      <c r="P651" s="21"/>
    </row>
    <row r="652">
      <c r="A652" s="58"/>
      <c r="L652" s="21"/>
      <c r="M652" s="21"/>
      <c r="N652" s="21"/>
      <c r="P652" s="21"/>
    </row>
    <row r="653">
      <c r="A653" s="58"/>
      <c r="L653" s="21"/>
      <c r="M653" s="21"/>
      <c r="N653" s="21"/>
      <c r="P653" s="21"/>
    </row>
    <row r="654">
      <c r="A654" s="58"/>
      <c r="L654" s="21"/>
      <c r="M654" s="21"/>
      <c r="N654" s="21"/>
      <c r="P654" s="21"/>
    </row>
    <row r="655">
      <c r="A655" s="58"/>
      <c r="L655" s="21"/>
      <c r="M655" s="21"/>
      <c r="N655" s="21"/>
      <c r="P655" s="21"/>
    </row>
    <row r="656">
      <c r="A656" s="58"/>
      <c r="L656" s="21"/>
      <c r="M656" s="21"/>
      <c r="N656" s="21"/>
      <c r="P656" s="21"/>
    </row>
    <row r="657">
      <c r="A657" s="58"/>
      <c r="L657" s="21"/>
      <c r="M657" s="21"/>
      <c r="N657" s="21"/>
      <c r="P657" s="21"/>
    </row>
    <row r="658">
      <c r="A658" s="58"/>
      <c r="L658" s="21"/>
      <c r="M658" s="21"/>
      <c r="N658" s="21"/>
      <c r="P658" s="21"/>
    </row>
    <row r="659">
      <c r="A659" s="58"/>
      <c r="L659" s="21"/>
      <c r="M659" s="21"/>
      <c r="N659" s="21"/>
      <c r="P659" s="21"/>
    </row>
    <row r="660">
      <c r="A660" s="58"/>
      <c r="L660" s="21"/>
      <c r="M660" s="21"/>
      <c r="N660" s="21"/>
      <c r="P660" s="21"/>
    </row>
    <row r="661">
      <c r="A661" s="58"/>
      <c r="L661" s="21"/>
      <c r="M661" s="21"/>
      <c r="N661" s="21"/>
      <c r="P661" s="21"/>
    </row>
    <row r="662">
      <c r="A662" s="58"/>
      <c r="L662" s="21"/>
      <c r="M662" s="21"/>
      <c r="N662" s="21"/>
      <c r="P662" s="21"/>
    </row>
    <row r="663">
      <c r="A663" s="58"/>
      <c r="L663" s="21"/>
      <c r="M663" s="21"/>
      <c r="N663" s="21"/>
      <c r="P663" s="21"/>
    </row>
    <row r="664">
      <c r="A664" s="58"/>
      <c r="L664" s="21"/>
      <c r="M664" s="21"/>
      <c r="N664" s="21"/>
      <c r="P664" s="21"/>
    </row>
    <row r="665">
      <c r="A665" s="58"/>
      <c r="L665" s="21"/>
      <c r="M665" s="21"/>
      <c r="N665" s="21"/>
      <c r="P665" s="21"/>
    </row>
    <row r="666">
      <c r="A666" s="58"/>
      <c r="L666" s="21"/>
      <c r="M666" s="21"/>
      <c r="N666" s="21"/>
      <c r="P666" s="21"/>
    </row>
    <row r="667">
      <c r="A667" s="58"/>
      <c r="L667" s="21"/>
      <c r="M667" s="21"/>
      <c r="N667" s="21"/>
      <c r="P667" s="21"/>
    </row>
    <row r="668">
      <c r="A668" s="58"/>
      <c r="L668" s="21"/>
      <c r="M668" s="21"/>
      <c r="N668" s="21"/>
      <c r="P668" s="21"/>
    </row>
    <row r="669">
      <c r="A669" s="58"/>
      <c r="L669" s="21"/>
      <c r="M669" s="21"/>
      <c r="N669" s="21"/>
      <c r="P669" s="21"/>
    </row>
    <row r="670">
      <c r="A670" s="58"/>
      <c r="L670" s="21"/>
      <c r="M670" s="21"/>
      <c r="N670" s="21"/>
      <c r="P670" s="21"/>
    </row>
    <row r="671">
      <c r="A671" s="58"/>
      <c r="L671" s="21"/>
      <c r="M671" s="21"/>
      <c r="N671" s="21"/>
      <c r="P671" s="21"/>
    </row>
    <row r="672">
      <c r="A672" s="58"/>
      <c r="L672" s="21"/>
      <c r="M672" s="21"/>
      <c r="N672" s="21"/>
      <c r="P672" s="21"/>
    </row>
    <row r="673">
      <c r="A673" s="58"/>
      <c r="L673" s="21"/>
      <c r="M673" s="21"/>
      <c r="N673" s="21"/>
      <c r="P673" s="21"/>
    </row>
    <row r="674">
      <c r="A674" s="58"/>
      <c r="L674" s="21"/>
      <c r="M674" s="21"/>
      <c r="N674" s="21"/>
      <c r="P674" s="21"/>
    </row>
    <row r="675">
      <c r="A675" s="58"/>
      <c r="L675" s="21"/>
      <c r="M675" s="21"/>
      <c r="N675" s="21"/>
      <c r="P675" s="21"/>
    </row>
    <row r="676">
      <c r="A676" s="58"/>
      <c r="L676" s="21"/>
      <c r="M676" s="21"/>
      <c r="N676" s="21"/>
      <c r="P676" s="21"/>
    </row>
    <row r="677">
      <c r="A677" s="58"/>
      <c r="L677" s="21"/>
      <c r="M677" s="21"/>
      <c r="N677" s="21"/>
      <c r="P677" s="21"/>
    </row>
    <row r="678">
      <c r="A678" s="58"/>
      <c r="L678" s="21"/>
      <c r="M678" s="21"/>
      <c r="N678" s="21"/>
      <c r="P678" s="21"/>
    </row>
    <row r="679">
      <c r="A679" s="58"/>
      <c r="L679" s="21"/>
      <c r="M679" s="21"/>
      <c r="N679" s="21"/>
      <c r="P679" s="21"/>
    </row>
    <row r="680">
      <c r="A680" s="58"/>
      <c r="L680" s="21"/>
      <c r="M680" s="21"/>
      <c r="N680" s="21"/>
      <c r="P680" s="21"/>
    </row>
    <row r="681">
      <c r="A681" s="58"/>
      <c r="L681" s="21"/>
      <c r="M681" s="21"/>
      <c r="N681" s="21"/>
      <c r="P681" s="21"/>
    </row>
    <row r="682">
      <c r="A682" s="58"/>
      <c r="L682" s="21"/>
      <c r="M682" s="21"/>
      <c r="N682" s="21"/>
      <c r="P682" s="21"/>
    </row>
    <row r="683">
      <c r="A683" s="58"/>
      <c r="L683" s="21"/>
      <c r="M683" s="21"/>
      <c r="N683" s="21"/>
      <c r="P683" s="21"/>
    </row>
    <row r="684">
      <c r="A684" s="58"/>
      <c r="L684" s="21"/>
      <c r="M684" s="21"/>
      <c r="N684" s="21"/>
      <c r="P684" s="21"/>
    </row>
    <row r="685">
      <c r="A685" s="58"/>
      <c r="L685" s="21"/>
      <c r="M685" s="21"/>
      <c r="N685" s="21"/>
      <c r="P685" s="21"/>
    </row>
    <row r="686">
      <c r="A686" s="58"/>
      <c r="L686" s="21"/>
      <c r="M686" s="21"/>
      <c r="N686" s="21"/>
      <c r="P686" s="21"/>
    </row>
    <row r="687">
      <c r="A687" s="58"/>
      <c r="L687" s="21"/>
      <c r="M687" s="21"/>
      <c r="N687" s="21"/>
      <c r="P687" s="21"/>
    </row>
    <row r="688">
      <c r="A688" s="58"/>
      <c r="L688" s="21"/>
      <c r="M688" s="21"/>
      <c r="N688" s="21"/>
      <c r="P688" s="21"/>
    </row>
    <row r="689">
      <c r="A689" s="58"/>
      <c r="L689" s="21"/>
      <c r="M689" s="21"/>
      <c r="N689" s="21"/>
      <c r="P689" s="21"/>
    </row>
    <row r="690">
      <c r="A690" s="58"/>
      <c r="L690" s="21"/>
      <c r="M690" s="21"/>
      <c r="N690" s="21"/>
      <c r="P690" s="21"/>
    </row>
    <row r="691">
      <c r="A691" s="58"/>
      <c r="L691" s="21"/>
      <c r="M691" s="21"/>
      <c r="N691" s="21"/>
      <c r="P691" s="21"/>
    </row>
    <row r="692">
      <c r="A692" s="58"/>
      <c r="L692" s="21"/>
      <c r="M692" s="21"/>
      <c r="N692" s="21"/>
      <c r="P692" s="21"/>
    </row>
    <row r="693">
      <c r="A693" s="58"/>
      <c r="L693" s="21"/>
      <c r="M693" s="21"/>
      <c r="N693" s="21"/>
      <c r="P693" s="21"/>
    </row>
    <row r="694">
      <c r="A694" s="58"/>
      <c r="L694" s="21"/>
      <c r="M694" s="21"/>
      <c r="N694" s="21"/>
      <c r="P694" s="21"/>
    </row>
    <row r="695">
      <c r="A695" s="58"/>
      <c r="L695" s="21"/>
      <c r="M695" s="21"/>
      <c r="N695" s="21"/>
      <c r="P695" s="21"/>
    </row>
    <row r="696">
      <c r="A696" s="58"/>
      <c r="L696" s="21"/>
      <c r="M696" s="21"/>
      <c r="N696" s="21"/>
      <c r="P696" s="21"/>
    </row>
    <row r="697">
      <c r="A697" s="58"/>
      <c r="L697" s="21"/>
      <c r="M697" s="21"/>
      <c r="N697" s="21"/>
      <c r="P697" s="21"/>
    </row>
    <row r="698">
      <c r="A698" s="58"/>
      <c r="L698" s="21"/>
      <c r="M698" s="21"/>
      <c r="N698" s="21"/>
      <c r="P698" s="21"/>
    </row>
    <row r="699">
      <c r="A699" s="58"/>
      <c r="L699" s="21"/>
      <c r="M699" s="21"/>
      <c r="N699" s="21"/>
      <c r="P699" s="21"/>
    </row>
    <row r="700">
      <c r="A700" s="58"/>
      <c r="L700" s="21"/>
      <c r="M700" s="21"/>
      <c r="N700" s="21"/>
      <c r="P700" s="21"/>
    </row>
    <row r="701">
      <c r="A701" s="58"/>
      <c r="L701" s="21"/>
      <c r="M701" s="21"/>
      <c r="N701" s="21"/>
      <c r="P701" s="21"/>
    </row>
    <row r="702">
      <c r="A702" s="58"/>
      <c r="L702" s="21"/>
      <c r="M702" s="21"/>
      <c r="N702" s="21"/>
      <c r="P702" s="21"/>
    </row>
    <row r="703">
      <c r="A703" s="58"/>
      <c r="L703" s="21"/>
      <c r="M703" s="21"/>
      <c r="N703" s="21"/>
      <c r="P703" s="21"/>
    </row>
    <row r="704">
      <c r="A704" s="58"/>
      <c r="L704" s="21"/>
      <c r="M704" s="21"/>
      <c r="N704" s="21"/>
      <c r="P704" s="21"/>
    </row>
    <row r="705">
      <c r="A705" s="58"/>
      <c r="L705" s="21"/>
      <c r="M705" s="21"/>
      <c r="N705" s="21"/>
      <c r="P705" s="21"/>
    </row>
    <row r="706">
      <c r="A706" s="58"/>
      <c r="L706" s="21"/>
      <c r="M706" s="21"/>
      <c r="N706" s="21"/>
      <c r="P706" s="21"/>
    </row>
    <row r="707">
      <c r="A707" s="58"/>
      <c r="L707" s="21"/>
      <c r="M707" s="21"/>
      <c r="N707" s="21"/>
      <c r="P707" s="21"/>
    </row>
    <row r="708">
      <c r="A708" s="58"/>
      <c r="L708" s="21"/>
      <c r="M708" s="21"/>
      <c r="N708" s="21"/>
      <c r="P708" s="21"/>
    </row>
    <row r="709">
      <c r="A709" s="58"/>
      <c r="L709" s="21"/>
      <c r="M709" s="21"/>
      <c r="N709" s="21"/>
      <c r="P709" s="21"/>
    </row>
    <row r="710">
      <c r="A710" s="58"/>
      <c r="L710" s="21"/>
      <c r="M710" s="21"/>
      <c r="N710" s="21"/>
      <c r="P710" s="21"/>
    </row>
    <row r="711">
      <c r="A711" s="58"/>
      <c r="L711" s="21"/>
      <c r="M711" s="21"/>
      <c r="N711" s="21"/>
      <c r="P711" s="21"/>
    </row>
    <row r="712">
      <c r="A712" s="58"/>
      <c r="L712" s="21"/>
      <c r="M712" s="21"/>
      <c r="N712" s="21"/>
      <c r="P712" s="21"/>
    </row>
    <row r="713">
      <c r="A713" s="58"/>
      <c r="L713" s="21"/>
      <c r="M713" s="21"/>
      <c r="N713" s="21"/>
      <c r="P713" s="21"/>
    </row>
    <row r="714">
      <c r="A714" s="58"/>
      <c r="L714" s="21"/>
      <c r="M714" s="21"/>
      <c r="N714" s="21"/>
      <c r="P714" s="21"/>
    </row>
    <row r="715">
      <c r="A715" s="58"/>
      <c r="L715" s="21"/>
      <c r="M715" s="21"/>
      <c r="N715" s="21"/>
      <c r="P715" s="21"/>
    </row>
    <row r="716">
      <c r="A716" s="58"/>
      <c r="L716" s="21"/>
      <c r="M716" s="21"/>
      <c r="N716" s="21"/>
      <c r="P716" s="21"/>
    </row>
    <row r="717">
      <c r="A717" s="58"/>
      <c r="L717" s="21"/>
      <c r="M717" s="21"/>
      <c r="N717" s="21"/>
      <c r="P717" s="21"/>
    </row>
    <row r="718">
      <c r="A718" s="58"/>
      <c r="L718" s="21"/>
      <c r="M718" s="21"/>
      <c r="N718" s="21"/>
      <c r="P718" s="21"/>
    </row>
    <row r="719">
      <c r="A719" s="58"/>
      <c r="L719" s="21"/>
      <c r="M719" s="21"/>
      <c r="N719" s="21"/>
      <c r="P719" s="21"/>
    </row>
    <row r="720">
      <c r="A720" s="58"/>
      <c r="L720" s="21"/>
      <c r="M720" s="21"/>
      <c r="N720" s="21"/>
      <c r="P720" s="21"/>
    </row>
    <row r="721">
      <c r="A721" s="58"/>
      <c r="L721" s="21"/>
      <c r="M721" s="21"/>
      <c r="N721" s="21"/>
      <c r="P721" s="21"/>
    </row>
    <row r="722">
      <c r="A722" s="58"/>
      <c r="L722" s="21"/>
      <c r="M722" s="21"/>
      <c r="N722" s="21"/>
      <c r="P722" s="21"/>
    </row>
    <row r="723">
      <c r="A723" s="58"/>
      <c r="L723" s="21"/>
      <c r="M723" s="21"/>
      <c r="N723" s="21"/>
      <c r="P723" s="21"/>
    </row>
    <row r="724">
      <c r="A724" s="58"/>
      <c r="L724" s="21"/>
      <c r="M724" s="21"/>
      <c r="N724" s="21"/>
      <c r="P724" s="21"/>
    </row>
    <row r="725">
      <c r="A725" s="58"/>
      <c r="L725" s="21"/>
      <c r="M725" s="21"/>
      <c r="N725" s="21"/>
      <c r="P725" s="21"/>
    </row>
    <row r="726">
      <c r="A726" s="58"/>
      <c r="L726" s="21"/>
      <c r="M726" s="21"/>
      <c r="N726" s="21"/>
      <c r="P726" s="21"/>
    </row>
    <row r="727">
      <c r="A727" s="58"/>
      <c r="L727" s="21"/>
      <c r="M727" s="21"/>
      <c r="N727" s="21"/>
      <c r="P727" s="21"/>
    </row>
    <row r="728">
      <c r="A728" s="58"/>
      <c r="L728" s="21"/>
      <c r="M728" s="21"/>
      <c r="N728" s="21"/>
      <c r="P728" s="21"/>
    </row>
    <row r="729">
      <c r="A729" s="58"/>
      <c r="L729" s="21"/>
      <c r="M729" s="21"/>
      <c r="N729" s="21"/>
      <c r="P729" s="21"/>
    </row>
    <row r="730">
      <c r="A730" s="58"/>
      <c r="L730" s="21"/>
      <c r="M730" s="21"/>
      <c r="N730" s="21"/>
      <c r="P730" s="21"/>
    </row>
    <row r="731">
      <c r="A731" s="58"/>
      <c r="L731" s="21"/>
      <c r="M731" s="21"/>
      <c r="N731" s="21"/>
      <c r="P731" s="21"/>
    </row>
    <row r="732">
      <c r="A732" s="58"/>
      <c r="L732" s="21"/>
      <c r="M732" s="21"/>
      <c r="N732" s="21"/>
      <c r="P732" s="21"/>
    </row>
    <row r="733">
      <c r="A733" s="58"/>
      <c r="L733" s="21"/>
      <c r="M733" s="21"/>
      <c r="N733" s="21"/>
      <c r="P733" s="21"/>
    </row>
    <row r="734">
      <c r="A734" s="58"/>
      <c r="L734" s="21"/>
      <c r="M734" s="21"/>
      <c r="N734" s="21"/>
      <c r="P734" s="21"/>
    </row>
    <row r="735">
      <c r="A735" s="58"/>
      <c r="L735" s="21"/>
      <c r="M735" s="21"/>
      <c r="N735" s="21"/>
      <c r="P735" s="21"/>
    </row>
    <row r="736">
      <c r="A736" s="58"/>
      <c r="L736" s="21"/>
      <c r="M736" s="21"/>
      <c r="N736" s="21"/>
      <c r="P736" s="21"/>
    </row>
    <row r="737">
      <c r="A737" s="58"/>
      <c r="L737" s="21"/>
      <c r="M737" s="21"/>
      <c r="N737" s="21"/>
      <c r="P737" s="21"/>
    </row>
    <row r="738">
      <c r="A738" s="58"/>
      <c r="L738" s="21"/>
      <c r="M738" s="21"/>
      <c r="N738" s="21"/>
      <c r="P738" s="21"/>
    </row>
    <row r="739">
      <c r="A739" s="58"/>
      <c r="L739" s="21"/>
      <c r="M739" s="21"/>
      <c r="N739" s="21"/>
      <c r="P739" s="21"/>
    </row>
    <row r="740">
      <c r="A740" s="58"/>
      <c r="L740" s="21"/>
      <c r="M740" s="21"/>
      <c r="N740" s="21"/>
      <c r="P740" s="21"/>
    </row>
    <row r="741">
      <c r="A741" s="58"/>
      <c r="L741" s="21"/>
      <c r="M741" s="21"/>
      <c r="N741" s="21"/>
      <c r="P741" s="21"/>
    </row>
    <row r="742">
      <c r="A742" s="58"/>
      <c r="L742" s="21"/>
      <c r="M742" s="21"/>
      <c r="N742" s="21"/>
      <c r="P742" s="21"/>
    </row>
    <row r="743">
      <c r="A743" s="58"/>
      <c r="L743" s="21"/>
      <c r="M743" s="21"/>
      <c r="N743" s="21"/>
      <c r="P743" s="21"/>
    </row>
    <row r="744">
      <c r="A744" s="58"/>
      <c r="L744" s="21"/>
      <c r="M744" s="21"/>
      <c r="N744" s="21"/>
      <c r="P744" s="21"/>
    </row>
    <row r="745">
      <c r="A745" s="58"/>
      <c r="L745" s="21"/>
      <c r="M745" s="21"/>
      <c r="N745" s="21"/>
      <c r="P745" s="21"/>
    </row>
    <row r="746">
      <c r="A746" s="58"/>
      <c r="L746" s="21"/>
      <c r="M746" s="21"/>
      <c r="N746" s="21"/>
      <c r="P746" s="21"/>
    </row>
    <row r="747">
      <c r="A747" s="58"/>
      <c r="L747" s="21"/>
      <c r="M747" s="21"/>
      <c r="N747" s="21"/>
      <c r="P747" s="21"/>
    </row>
    <row r="748">
      <c r="A748" s="58"/>
      <c r="L748" s="21"/>
      <c r="M748" s="21"/>
      <c r="N748" s="21"/>
      <c r="P748" s="21"/>
    </row>
    <row r="749">
      <c r="A749" s="58"/>
      <c r="L749" s="21"/>
      <c r="M749" s="21"/>
      <c r="N749" s="21"/>
      <c r="P749" s="21"/>
    </row>
    <row r="750">
      <c r="A750" s="58"/>
      <c r="L750" s="21"/>
      <c r="M750" s="21"/>
      <c r="N750" s="21"/>
      <c r="P750" s="21"/>
    </row>
    <row r="751">
      <c r="A751" s="58"/>
      <c r="L751" s="21"/>
      <c r="M751" s="21"/>
      <c r="N751" s="21"/>
      <c r="P751" s="21"/>
    </row>
    <row r="752">
      <c r="A752" s="58"/>
      <c r="L752" s="21"/>
      <c r="M752" s="21"/>
      <c r="N752" s="21"/>
      <c r="P752" s="21"/>
    </row>
    <row r="753">
      <c r="A753" s="58"/>
      <c r="L753" s="21"/>
      <c r="M753" s="21"/>
      <c r="N753" s="21"/>
      <c r="P753" s="21"/>
    </row>
    <row r="754">
      <c r="A754" s="58"/>
      <c r="L754" s="21"/>
      <c r="M754" s="21"/>
      <c r="N754" s="21"/>
      <c r="P754" s="21"/>
    </row>
    <row r="755">
      <c r="A755" s="58"/>
      <c r="L755" s="21"/>
      <c r="M755" s="21"/>
      <c r="N755" s="21"/>
      <c r="P755" s="21"/>
    </row>
    <row r="756">
      <c r="A756" s="58"/>
      <c r="L756" s="21"/>
      <c r="M756" s="21"/>
      <c r="N756" s="21"/>
      <c r="P756" s="21"/>
    </row>
    <row r="757">
      <c r="A757" s="58"/>
      <c r="L757" s="21"/>
      <c r="M757" s="21"/>
      <c r="N757" s="21"/>
      <c r="P757" s="21"/>
    </row>
    <row r="758">
      <c r="A758" s="58"/>
      <c r="L758" s="21"/>
      <c r="M758" s="21"/>
      <c r="N758" s="21"/>
      <c r="P758" s="21"/>
    </row>
    <row r="759">
      <c r="A759" s="58"/>
      <c r="L759" s="21"/>
      <c r="M759" s="21"/>
      <c r="N759" s="21"/>
      <c r="P759" s="21"/>
    </row>
    <row r="760">
      <c r="A760" s="58"/>
      <c r="L760" s="21"/>
      <c r="M760" s="21"/>
      <c r="N760" s="21"/>
      <c r="P760" s="21"/>
    </row>
    <row r="761">
      <c r="A761" s="58"/>
      <c r="L761" s="21"/>
      <c r="M761" s="21"/>
      <c r="N761" s="21"/>
      <c r="P761" s="21"/>
    </row>
    <row r="762">
      <c r="A762" s="58"/>
      <c r="L762" s="21"/>
      <c r="M762" s="21"/>
      <c r="N762" s="21"/>
      <c r="P762" s="21"/>
    </row>
    <row r="763">
      <c r="A763" s="58"/>
      <c r="L763" s="21"/>
      <c r="M763" s="21"/>
      <c r="N763" s="21"/>
      <c r="P763" s="21"/>
    </row>
    <row r="764">
      <c r="A764" s="58"/>
      <c r="L764" s="21"/>
      <c r="M764" s="21"/>
      <c r="N764" s="21"/>
      <c r="P764" s="21"/>
    </row>
    <row r="765">
      <c r="A765" s="58"/>
      <c r="L765" s="21"/>
      <c r="M765" s="21"/>
      <c r="N765" s="21"/>
      <c r="P765" s="21"/>
    </row>
    <row r="766">
      <c r="A766" s="58"/>
      <c r="L766" s="21"/>
      <c r="M766" s="21"/>
      <c r="N766" s="21"/>
      <c r="P766" s="21"/>
    </row>
    <row r="767">
      <c r="A767" s="58"/>
      <c r="L767" s="21"/>
      <c r="M767" s="21"/>
      <c r="N767" s="21"/>
      <c r="P767" s="21"/>
    </row>
    <row r="768">
      <c r="A768" s="58"/>
      <c r="L768" s="21"/>
      <c r="M768" s="21"/>
      <c r="N768" s="21"/>
      <c r="P768" s="21"/>
    </row>
    <row r="769">
      <c r="A769" s="58"/>
      <c r="L769" s="21"/>
      <c r="M769" s="21"/>
      <c r="N769" s="21"/>
      <c r="P769" s="21"/>
    </row>
    <row r="770">
      <c r="A770" s="58"/>
      <c r="L770" s="21"/>
      <c r="M770" s="21"/>
      <c r="N770" s="21"/>
      <c r="P770" s="21"/>
    </row>
    <row r="771">
      <c r="A771" s="58"/>
      <c r="L771" s="21"/>
      <c r="M771" s="21"/>
      <c r="N771" s="21"/>
      <c r="P771" s="21"/>
    </row>
    <row r="772">
      <c r="A772" s="58"/>
      <c r="L772" s="21"/>
      <c r="M772" s="21"/>
      <c r="N772" s="21"/>
      <c r="P772" s="21"/>
    </row>
    <row r="773">
      <c r="A773" s="58"/>
      <c r="L773" s="21"/>
      <c r="M773" s="21"/>
      <c r="N773" s="21"/>
      <c r="P773" s="21"/>
    </row>
    <row r="774">
      <c r="A774" s="58"/>
      <c r="L774" s="21"/>
      <c r="M774" s="21"/>
      <c r="N774" s="21"/>
      <c r="P774" s="21"/>
    </row>
    <row r="775">
      <c r="A775" s="58"/>
      <c r="L775" s="21"/>
      <c r="M775" s="21"/>
      <c r="N775" s="21"/>
      <c r="P775" s="21"/>
    </row>
    <row r="776">
      <c r="A776" s="58"/>
      <c r="L776" s="21"/>
      <c r="M776" s="21"/>
      <c r="N776" s="21"/>
      <c r="P776" s="21"/>
    </row>
    <row r="777">
      <c r="A777" s="58"/>
      <c r="L777" s="21"/>
      <c r="M777" s="21"/>
      <c r="N777" s="21"/>
      <c r="P777" s="21"/>
    </row>
    <row r="778">
      <c r="A778" s="58"/>
      <c r="L778" s="21"/>
      <c r="M778" s="21"/>
      <c r="N778" s="21"/>
      <c r="P778" s="21"/>
    </row>
    <row r="779">
      <c r="A779" s="58"/>
      <c r="L779" s="21"/>
      <c r="M779" s="21"/>
      <c r="N779" s="21"/>
      <c r="P779" s="21"/>
    </row>
    <row r="780">
      <c r="A780" s="58"/>
      <c r="L780" s="21"/>
      <c r="M780" s="21"/>
      <c r="N780" s="21"/>
      <c r="P780" s="21"/>
    </row>
    <row r="781">
      <c r="A781" s="58"/>
      <c r="L781" s="21"/>
      <c r="M781" s="21"/>
      <c r="N781" s="21"/>
      <c r="P781" s="21"/>
    </row>
    <row r="782">
      <c r="A782" s="58"/>
      <c r="L782" s="21"/>
      <c r="M782" s="21"/>
      <c r="N782" s="21"/>
      <c r="P782" s="21"/>
    </row>
    <row r="783">
      <c r="A783" s="58"/>
      <c r="L783" s="21"/>
      <c r="M783" s="21"/>
      <c r="N783" s="21"/>
      <c r="P783" s="21"/>
    </row>
    <row r="784">
      <c r="A784" s="58"/>
      <c r="L784" s="21"/>
      <c r="M784" s="21"/>
      <c r="N784" s="21"/>
      <c r="P784" s="21"/>
    </row>
    <row r="785">
      <c r="A785" s="58"/>
      <c r="L785" s="21"/>
      <c r="M785" s="21"/>
      <c r="N785" s="21"/>
      <c r="P785" s="21"/>
    </row>
    <row r="786">
      <c r="A786" s="58"/>
      <c r="L786" s="21"/>
      <c r="M786" s="21"/>
      <c r="N786" s="21"/>
      <c r="P786" s="21"/>
    </row>
    <row r="787">
      <c r="A787" s="58"/>
      <c r="L787" s="21"/>
      <c r="M787" s="21"/>
      <c r="N787" s="21"/>
      <c r="P787" s="21"/>
    </row>
    <row r="788">
      <c r="A788" s="58"/>
      <c r="L788" s="21"/>
      <c r="M788" s="21"/>
      <c r="N788" s="21"/>
      <c r="P788" s="21"/>
    </row>
    <row r="789">
      <c r="A789" s="58"/>
      <c r="L789" s="21"/>
      <c r="M789" s="21"/>
      <c r="N789" s="21"/>
      <c r="P789" s="21"/>
    </row>
    <row r="790">
      <c r="A790" s="58"/>
      <c r="L790" s="21"/>
      <c r="M790" s="21"/>
      <c r="N790" s="21"/>
      <c r="P790" s="21"/>
    </row>
    <row r="791">
      <c r="A791" s="58"/>
      <c r="L791" s="21"/>
      <c r="M791" s="21"/>
      <c r="N791" s="21"/>
      <c r="P791" s="21"/>
    </row>
    <row r="792">
      <c r="A792" s="58"/>
      <c r="L792" s="21"/>
      <c r="M792" s="21"/>
      <c r="N792" s="21"/>
      <c r="P792" s="21"/>
    </row>
    <row r="793">
      <c r="A793" s="58"/>
      <c r="L793" s="21"/>
      <c r="M793" s="21"/>
      <c r="N793" s="21"/>
      <c r="P793" s="21"/>
    </row>
    <row r="794">
      <c r="A794" s="58"/>
      <c r="L794" s="21"/>
      <c r="M794" s="21"/>
      <c r="N794" s="21"/>
      <c r="P794" s="21"/>
    </row>
    <row r="795">
      <c r="A795" s="58"/>
      <c r="L795" s="21"/>
      <c r="M795" s="21"/>
      <c r="N795" s="21"/>
      <c r="P795" s="21"/>
    </row>
    <row r="796">
      <c r="A796" s="58"/>
      <c r="L796" s="21"/>
      <c r="M796" s="21"/>
      <c r="N796" s="21"/>
      <c r="P796" s="21"/>
    </row>
    <row r="797">
      <c r="A797" s="58"/>
      <c r="L797" s="21"/>
      <c r="M797" s="21"/>
      <c r="N797" s="21"/>
      <c r="P797" s="21"/>
    </row>
    <row r="798">
      <c r="A798" s="58"/>
      <c r="L798" s="21"/>
      <c r="M798" s="21"/>
      <c r="N798" s="21"/>
      <c r="P798" s="21"/>
    </row>
    <row r="799">
      <c r="A799" s="58"/>
      <c r="L799" s="21"/>
      <c r="M799" s="21"/>
      <c r="N799" s="21"/>
      <c r="P799" s="21"/>
    </row>
    <row r="800">
      <c r="A800" s="58"/>
      <c r="L800" s="21"/>
      <c r="M800" s="21"/>
      <c r="N800" s="21"/>
      <c r="P800" s="21"/>
    </row>
    <row r="801">
      <c r="A801" s="58"/>
      <c r="L801" s="21"/>
      <c r="M801" s="21"/>
      <c r="N801" s="21"/>
      <c r="P801" s="21"/>
    </row>
    <row r="802">
      <c r="A802" s="58"/>
      <c r="L802" s="21"/>
      <c r="M802" s="21"/>
      <c r="N802" s="21"/>
      <c r="P802" s="21"/>
    </row>
    <row r="803">
      <c r="A803" s="58"/>
      <c r="L803" s="21"/>
      <c r="M803" s="21"/>
      <c r="N803" s="21"/>
      <c r="P803" s="21"/>
    </row>
    <row r="804">
      <c r="A804" s="58"/>
      <c r="L804" s="21"/>
      <c r="M804" s="21"/>
      <c r="N804" s="21"/>
      <c r="P804" s="21"/>
    </row>
    <row r="805">
      <c r="A805" s="58"/>
      <c r="L805" s="21"/>
      <c r="M805" s="21"/>
      <c r="N805" s="21"/>
      <c r="P805" s="21"/>
    </row>
    <row r="806">
      <c r="A806" s="58"/>
      <c r="L806" s="21"/>
      <c r="M806" s="21"/>
      <c r="N806" s="21"/>
      <c r="P806" s="21"/>
    </row>
    <row r="807">
      <c r="A807" s="58"/>
      <c r="L807" s="21"/>
      <c r="M807" s="21"/>
      <c r="N807" s="21"/>
      <c r="P807" s="21"/>
    </row>
    <row r="808">
      <c r="A808" s="58"/>
      <c r="L808" s="21"/>
      <c r="M808" s="21"/>
      <c r="N808" s="21"/>
      <c r="P808" s="21"/>
    </row>
    <row r="809">
      <c r="A809" s="58"/>
      <c r="L809" s="21"/>
      <c r="M809" s="21"/>
      <c r="N809" s="21"/>
      <c r="P809" s="21"/>
    </row>
    <row r="810">
      <c r="A810" s="58"/>
      <c r="L810" s="21"/>
      <c r="M810" s="21"/>
      <c r="N810" s="21"/>
      <c r="P810" s="21"/>
    </row>
    <row r="811">
      <c r="A811" s="58"/>
      <c r="L811" s="21"/>
      <c r="M811" s="21"/>
      <c r="N811" s="21"/>
      <c r="P811" s="21"/>
    </row>
    <row r="812">
      <c r="A812" s="58"/>
      <c r="L812" s="21"/>
      <c r="M812" s="21"/>
      <c r="N812" s="21"/>
      <c r="P812" s="21"/>
    </row>
    <row r="813">
      <c r="A813" s="58"/>
      <c r="L813" s="21"/>
      <c r="M813" s="21"/>
      <c r="N813" s="21"/>
      <c r="P813" s="21"/>
    </row>
    <row r="814">
      <c r="A814" s="58"/>
      <c r="L814" s="21"/>
      <c r="M814" s="21"/>
      <c r="N814" s="21"/>
      <c r="P814" s="21"/>
    </row>
    <row r="815">
      <c r="A815" s="58"/>
      <c r="L815" s="21"/>
      <c r="M815" s="21"/>
      <c r="N815" s="21"/>
      <c r="P815" s="21"/>
    </row>
    <row r="816">
      <c r="A816" s="58"/>
      <c r="L816" s="21"/>
      <c r="M816" s="21"/>
      <c r="N816" s="21"/>
      <c r="P816" s="21"/>
    </row>
    <row r="817">
      <c r="A817" s="58"/>
      <c r="L817" s="21"/>
      <c r="M817" s="21"/>
      <c r="N817" s="21"/>
      <c r="P817" s="21"/>
    </row>
    <row r="818">
      <c r="A818" s="58"/>
      <c r="L818" s="21"/>
      <c r="M818" s="21"/>
      <c r="N818" s="21"/>
      <c r="P818" s="21"/>
    </row>
    <row r="819">
      <c r="A819" s="58"/>
      <c r="L819" s="21"/>
      <c r="M819" s="21"/>
      <c r="N819" s="21"/>
      <c r="P819" s="21"/>
    </row>
    <row r="820">
      <c r="A820" s="58"/>
      <c r="L820" s="21"/>
      <c r="M820" s="21"/>
      <c r="N820" s="21"/>
      <c r="P820" s="21"/>
    </row>
    <row r="821">
      <c r="A821" s="58"/>
      <c r="L821" s="21"/>
      <c r="M821" s="21"/>
      <c r="N821" s="21"/>
      <c r="P821" s="21"/>
    </row>
    <row r="822">
      <c r="A822" s="58"/>
      <c r="L822" s="21"/>
      <c r="M822" s="21"/>
      <c r="N822" s="21"/>
      <c r="P822" s="21"/>
    </row>
    <row r="823">
      <c r="A823" s="58"/>
      <c r="L823" s="21"/>
      <c r="M823" s="21"/>
      <c r="N823" s="21"/>
      <c r="P823" s="21"/>
    </row>
    <row r="824">
      <c r="A824" s="58"/>
      <c r="L824" s="21"/>
      <c r="M824" s="21"/>
      <c r="N824" s="21"/>
      <c r="P824" s="21"/>
    </row>
    <row r="825">
      <c r="A825" s="58"/>
      <c r="L825" s="21"/>
      <c r="M825" s="21"/>
      <c r="N825" s="21"/>
      <c r="P825" s="21"/>
    </row>
    <row r="826">
      <c r="A826" s="58"/>
      <c r="L826" s="21"/>
      <c r="M826" s="21"/>
      <c r="N826" s="21"/>
      <c r="P826" s="21"/>
    </row>
    <row r="827">
      <c r="A827" s="58"/>
      <c r="L827" s="21"/>
      <c r="M827" s="21"/>
      <c r="N827" s="21"/>
      <c r="P827" s="21"/>
    </row>
    <row r="828">
      <c r="A828" s="58"/>
      <c r="L828" s="21"/>
      <c r="M828" s="21"/>
      <c r="N828" s="21"/>
      <c r="P828" s="21"/>
    </row>
    <row r="829">
      <c r="A829" s="58"/>
      <c r="L829" s="21"/>
      <c r="M829" s="21"/>
      <c r="N829" s="21"/>
      <c r="P829" s="21"/>
    </row>
    <row r="830">
      <c r="A830" s="58"/>
      <c r="L830" s="21"/>
      <c r="M830" s="21"/>
      <c r="N830" s="21"/>
      <c r="P830" s="21"/>
    </row>
    <row r="831">
      <c r="A831" s="58"/>
      <c r="L831" s="21"/>
      <c r="M831" s="21"/>
      <c r="N831" s="21"/>
      <c r="P831" s="21"/>
    </row>
    <row r="832">
      <c r="A832" s="58"/>
      <c r="L832" s="21"/>
      <c r="M832" s="21"/>
      <c r="N832" s="21"/>
      <c r="P832" s="21"/>
    </row>
    <row r="833">
      <c r="A833" s="58"/>
      <c r="L833" s="21"/>
      <c r="M833" s="21"/>
      <c r="N833" s="21"/>
      <c r="P833" s="21"/>
    </row>
    <row r="834">
      <c r="A834" s="58"/>
      <c r="L834" s="21"/>
      <c r="M834" s="21"/>
      <c r="N834" s="21"/>
      <c r="P834" s="21"/>
    </row>
    <row r="835">
      <c r="A835" s="58"/>
      <c r="L835" s="21"/>
      <c r="M835" s="21"/>
      <c r="N835" s="21"/>
      <c r="P835" s="21"/>
    </row>
    <row r="836">
      <c r="A836" s="58"/>
      <c r="L836" s="21"/>
      <c r="M836" s="21"/>
      <c r="N836" s="21"/>
      <c r="P836" s="21"/>
    </row>
    <row r="837">
      <c r="A837" s="58"/>
      <c r="L837" s="21"/>
      <c r="M837" s="21"/>
      <c r="N837" s="21"/>
      <c r="P837" s="21"/>
    </row>
    <row r="838">
      <c r="A838" s="58"/>
      <c r="L838" s="21"/>
      <c r="M838" s="21"/>
      <c r="N838" s="21"/>
      <c r="P838" s="21"/>
    </row>
    <row r="839">
      <c r="A839" s="58"/>
      <c r="L839" s="21"/>
      <c r="M839" s="21"/>
      <c r="N839" s="21"/>
      <c r="P839" s="21"/>
    </row>
    <row r="840">
      <c r="A840" s="58"/>
      <c r="L840" s="21"/>
      <c r="M840" s="21"/>
      <c r="N840" s="21"/>
      <c r="P840" s="21"/>
    </row>
    <row r="841">
      <c r="A841" s="58"/>
      <c r="L841" s="21"/>
      <c r="M841" s="21"/>
      <c r="N841" s="21"/>
      <c r="P841" s="21"/>
    </row>
    <row r="842">
      <c r="A842" s="58"/>
      <c r="L842" s="21"/>
      <c r="M842" s="21"/>
      <c r="N842" s="21"/>
      <c r="P842" s="21"/>
    </row>
    <row r="843">
      <c r="A843" s="58"/>
      <c r="L843" s="21"/>
      <c r="M843" s="21"/>
      <c r="N843" s="21"/>
      <c r="P843" s="21"/>
    </row>
    <row r="844">
      <c r="A844" s="58"/>
      <c r="L844" s="21"/>
      <c r="M844" s="21"/>
      <c r="N844" s="21"/>
      <c r="P844" s="21"/>
    </row>
    <row r="845">
      <c r="A845" s="58"/>
      <c r="L845" s="21"/>
      <c r="M845" s="21"/>
      <c r="N845" s="21"/>
      <c r="P845" s="21"/>
    </row>
    <row r="846">
      <c r="A846" s="58"/>
      <c r="L846" s="21"/>
      <c r="M846" s="21"/>
      <c r="N846" s="21"/>
      <c r="P846" s="21"/>
    </row>
    <row r="847">
      <c r="A847" s="58"/>
      <c r="L847" s="21"/>
      <c r="M847" s="21"/>
      <c r="N847" s="21"/>
      <c r="P847" s="21"/>
    </row>
    <row r="848">
      <c r="A848" s="58"/>
      <c r="L848" s="21"/>
      <c r="M848" s="21"/>
      <c r="N848" s="21"/>
      <c r="P848" s="21"/>
    </row>
    <row r="849">
      <c r="A849" s="58"/>
      <c r="L849" s="21"/>
      <c r="M849" s="21"/>
      <c r="N849" s="21"/>
      <c r="P849" s="21"/>
    </row>
    <row r="850">
      <c r="A850" s="58"/>
      <c r="L850" s="21"/>
      <c r="M850" s="21"/>
      <c r="N850" s="21"/>
      <c r="P850" s="21"/>
    </row>
    <row r="851">
      <c r="A851" s="58"/>
      <c r="L851" s="21"/>
      <c r="M851" s="21"/>
      <c r="N851" s="21"/>
      <c r="P851" s="21"/>
    </row>
    <row r="852">
      <c r="A852" s="58"/>
      <c r="L852" s="21"/>
      <c r="M852" s="21"/>
      <c r="N852" s="21"/>
      <c r="P852" s="21"/>
    </row>
    <row r="853">
      <c r="A853" s="58"/>
      <c r="L853" s="21"/>
      <c r="M853" s="21"/>
      <c r="N853" s="21"/>
      <c r="P853" s="21"/>
    </row>
    <row r="854">
      <c r="A854" s="58"/>
      <c r="L854" s="21"/>
      <c r="M854" s="21"/>
      <c r="N854" s="21"/>
      <c r="P854" s="21"/>
    </row>
    <row r="855">
      <c r="A855" s="58"/>
      <c r="L855" s="21"/>
      <c r="M855" s="21"/>
      <c r="N855" s="21"/>
      <c r="P855" s="21"/>
    </row>
    <row r="856">
      <c r="A856" s="58"/>
      <c r="L856" s="21"/>
      <c r="M856" s="21"/>
      <c r="N856" s="21"/>
      <c r="P856" s="21"/>
    </row>
    <row r="857">
      <c r="A857" s="58"/>
      <c r="L857" s="21"/>
      <c r="M857" s="21"/>
      <c r="N857" s="21"/>
      <c r="P857" s="21"/>
    </row>
    <row r="858">
      <c r="A858" s="58"/>
      <c r="L858" s="21"/>
      <c r="M858" s="21"/>
      <c r="N858" s="21"/>
      <c r="P858" s="21"/>
    </row>
    <row r="859">
      <c r="A859" s="58"/>
      <c r="L859" s="21"/>
      <c r="M859" s="21"/>
      <c r="N859" s="21"/>
      <c r="P859" s="21"/>
    </row>
    <row r="860">
      <c r="A860" s="58"/>
      <c r="L860" s="21"/>
      <c r="M860" s="21"/>
      <c r="N860" s="21"/>
      <c r="P860" s="21"/>
    </row>
    <row r="861">
      <c r="A861" s="58"/>
      <c r="L861" s="21"/>
      <c r="M861" s="21"/>
      <c r="N861" s="21"/>
      <c r="P861" s="21"/>
    </row>
    <row r="862">
      <c r="A862" s="58"/>
      <c r="L862" s="21"/>
      <c r="M862" s="21"/>
      <c r="N862" s="21"/>
      <c r="P862" s="21"/>
    </row>
    <row r="863">
      <c r="A863" s="58"/>
      <c r="L863" s="21"/>
      <c r="M863" s="21"/>
      <c r="N863" s="21"/>
      <c r="P863" s="21"/>
    </row>
    <row r="864">
      <c r="A864" s="58"/>
      <c r="L864" s="21"/>
      <c r="M864" s="21"/>
      <c r="N864" s="21"/>
      <c r="P864" s="21"/>
    </row>
    <row r="865">
      <c r="A865" s="58"/>
      <c r="L865" s="21"/>
      <c r="M865" s="21"/>
      <c r="N865" s="21"/>
      <c r="P865" s="21"/>
    </row>
    <row r="866">
      <c r="A866" s="58"/>
      <c r="L866" s="21"/>
      <c r="M866" s="21"/>
      <c r="N866" s="21"/>
      <c r="P866" s="21"/>
    </row>
    <row r="867">
      <c r="A867" s="58"/>
      <c r="L867" s="21"/>
      <c r="M867" s="21"/>
      <c r="N867" s="21"/>
      <c r="P867" s="21"/>
    </row>
    <row r="868">
      <c r="A868" s="58"/>
      <c r="L868" s="21"/>
      <c r="M868" s="21"/>
      <c r="N868" s="21"/>
      <c r="P868" s="21"/>
    </row>
    <row r="869">
      <c r="A869" s="58"/>
      <c r="L869" s="21"/>
      <c r="M869" s="21"/>
      <c r="N869" s="21"/>
      <c r="P869" s="21"/>
    </row>
    <row r="870">
      <c r="A870" s="58"/>
      <c r="L870" s="21"/>
      <c r="M870" s="21"/>
      <c r="N870" s="21"/>
      <c r="P870" s="21"/>
    </row>
    <row r="871">
      <c r="A871" s="58"/>
      <c r="L871" s="21"/>
      <c r="M871" s="21"/>
      <c r="N871" s="21"/>
      <c r="P871" s="21"/>
    </row>
    <row r="872">
      <c r="A872" s="58"/>
      <c r="L872" s="21"/>
      <c r="M872" s="21"/>
      <c r="N872" s="21"/>
      <c r="P872" s="21"/>
    </row>
    <row r="873">
      <c r="A873" s="58"/>
      <c r="L873" s="21"/>
      <c r="M873" s="21"/>
      <c r="N873" s="21"/>
      <c r="P873" s="21"/>
    </row>
    <row r="874">
      <c r="A874" s="58"/>
      <c r="L874" s="21"/>
      <c r="M874" s="21"/>
      <c r="N874" s="21"/>
      <c r="P874" s="21"/>
    </row>
    <row r="875">
      <c r="A875" s="58"/>
      <c r="L875" s="21"/>
      <c r="M875" s="21"/>
      <c r="N875" s="21"/>
      <c r="P875" s="21"/>
    </row>
    <row r="876">
      <c r="A876" s="58"/>
      <c r="L876" s="21"/>
      <c r="M876" s="21"/>
      <c r="N876" s="21"/>
      <c r="P876" s="21"/>
    </row>
    <row r="877">
      <c r="A877" s="58"/>
      <c r="L877" s="21"/>
      <c r="M877" s="21"/>
      <c r="N877" s="21"/>
      <c r="P877" s="21"/>
    </row>
    <row r="878">
      <c r="A878" s="58"/>
      <c r="L878" s="21"/>
      <c r="M878" s="21"/>
      <c r="N878" s="21"/>
      <c r="P878" s="21"/>
    </row>
    <row r="879">
      <c r="A879" s="58"/>
      <c r="L879" s="21"/>
      <c r="M879" s="21"/>
      <c r="N879" s="21"/>
      <c r="P879" s="21"/>
    </row>
    <row r="880">
      <c r="A880" s="58"/>
      <c r="L880" s="21"/>
      <c r="M880" s="21"/>
      <c r="N880" s="21"/>
      <c r="P880" s="21"/>
    </row>
    <row r="881">
      <c r="A881" s="58"/>
      <c r="L881" s="21"/>
      <c r="M881" s="21"/>
      <c r="N881" s="21"/>
      <c r="P881" s="21"/>
    </row>
    <row r="882">
      <c r="A882" s="58"/>
      <c r="L882" s="21"/>
      <c r="M882" s="21"/>
      <c r="N882" s="21"/>
      <c r="P882" s="21"/>
    </row>
    <row r="883">
      <c r="A883" s="58"/>
      <c r="L883" s="21"/>
      <c r="M883" s="21"/>
      <c r="N883" s="21"/>
      <c r="P883" s="21"/>
    </row>
    <row r="884">
      <c r="A884" s="58"/>
      <c r="L884" s="21"/>
      <c r="M884" s="21"/>
      <c r="N884" s="21"/>
      <c r="P884" s="21"/>
    </row>
    <row r="885">
      <c r="A885" s="58"/>
      <c r="L885" s="21"/>
      <c r="M885" s="21"/>
      <c r="N885" s="21"/>
      <c r="P885" s="21"/>
    </row>
    <row r="886">
      <c r="A886" s="58"/>
      <c r="L886" s="21"/>
      <c r="M886" s="21"/>
      <c r="N886" s="21"/>
      <c r="P886" s="21"/>
    </row>
    <row r="887">
      <c r="A887" s="58"/>
      <c r="L887" s="21"/>
      <c r="M887" s="21"/>
      <c r="N887" s="21"/>
      <c r="P887" s="21"/>
    </row>
    <row r="888">
      <c r="A888" s="58"/>
      <c r="L888" s="21"/>
      <c r="M888" s="21"/>
      <c r="N888" s="21"/>
      <c r="P888" s="21"/>
    </row>
    <row r="889">
      <c r="A889" s="58"/>
      <c r="L889" s="21"/>
      <c r="M889" s="21"/>
      <c r="N889" s="21"/>
      <c r="P889" s="21"/>
    </row>
    <row r="890">
      <c r="A890" s="58"/>
      <c r="L890" s="21"/>
      <c r="M890" s="21"/>
      <c r="N890" s="21"/>
      <c r="P890" s="21"/>
    </row>
    <row r="891">
      <c r="A891" s="58"/>
      <c r="L891" s="21"/>
      <c r="M891" s="21"/>
      <c r="N891" s="21"/>
      <c r="P891" s="21"/>
    </row>
    <row r="892">
      <c r="A892" s="58"/>
      <c r="L892" s="21"/>
      <c r="M892" s="21"/>
      <c r="N892" s="21"/>
      <c r="P892" s="21"/>
    </row>
    <row r="893">
      <c r="A893" s="58"/>
      <c r="L893" s="21"/>
      <c r="M893" s="21"/>
      <c r="N893" s="21"/>
      <c r="P893" s="21"/>
    </row>
    <row r="894">
      <c r="A894" s="58"/>
      <c r="L894" s="21"/>
      <c r="M894" s="21"/>
      <c r="N894" s="21"/>
      <c r="P894" s="21"/>
    </row>
    <row r="895">
      <c r="A895" s="58"/>
      <c r="L895" s="21"/>
      <c r="M895" s="21"/>
      <c r="N895" s="21"/>
      <c r="P895" s="21"/>
    </row>
    <row r="896">
      <c r="A896" s="58"/>
      <c r="L896" s="21"/>
      <c r="M896" s="21"/>
      <c r="N896" s="21"/>
      <c r="P896" s="21"/>
    </row>
    <row r="897">
      <c r="A897" s="58"/>
      <c r="L897" s="21"/>
      <c r="M897" s="21"/>
      <c r="N897" s="21"/>
      <c r="P897" s="21"/>
    </row>
    <row r="898">
      <c r="A898" s="58"/>
      <c r="L898" s="21"/>
      <c r="M898" s="21"/>
      <c r="N898" s="21"/>
      <c r="P898" s="21"/>
    </row>
    <row r="899">
      <c r="A899" s="58"/>
      <c r="L899" s="21"/>
      <c r="M899" s="21"/>
      <c r="N899" s="21"/>
      <c r="P899" s="21"/>
    </row>
    <row r="900">
      <c r="A900" s="58"/>
      <c r="L900" s="21"/>
      <c r="M900" s="21"/>
      <c r="N900" s="21"/>
      <c r="P900" s="21"/>
    </row>
    <row r="901">
      <c r="A901" s="58"/>
      <c r="L901" s="21"/>
      <c r="M901" s="21"/>
      <c r="N901" s="21"/>
      <c r="P901" s="21"/>
    </row>
    <row r="902">
      <c r="A902" s="58"/>
      <c r="L902" s="21"/>
      <c r="M902" s="21"/>
      <c r="N902" s="21"/>
      <c r="P902" s="21"/>
    </row>
    <row r="903">
      <c r="A903" s="58"/>
      <c r="L903" s="21"/>
      <c r="M903" s="21"/>
      <c r="N903" s="21"/>
      <c r="P903" s="21"/>
    </row>
    <row r="904">
      <c r="A904" s="58"/>
      <c r="L904" s="21"/>
      <c r="M904" s="21"/>
      <c r="N904" s="21"/>
      <c r="P904" s="21"/>
    </row>
    <row r="905">
      <c r="A905" s="58"/>
      <c r="L905" s="21"/>
      <c r="M905" s="21"/>
      <c r="N905" s="21"/>
      <c r="P905" s="21"/>
    </row>
    <row r="906">
      <c r="A906" s="58"/>
      <c r="L906" s="21"/>
      <c r="M906" s="21"/>
      <c r="N906" s="21"/>
      <c r="P906" s="21"/>
    </row>
    <row r="907">
      <c r="A907" s="58"/>
      <c r="L907" s="21"/>
      <c r="M907" s="21"/>
      <c r="N907" s="21"/>
      <c r="P907" s="21"/>
    </row>
    <row r="908">
      <c r="A908" s="58"/>
      <c r="L908" s="21"/>
      <c r="M908" s="21"/>
      <c r="N908" s="21"/>
      <c r="P908" s="21"/>
    </row>
    <row r="909">
      <c r="A909" s="58"/>
      <c r="L909" s="21"/>
      <c r="M909" s="21"/>
      <c r="N909" s="21"/>
      <c r="P909" s="21"/>
    </row>
    <row r="910">
      <c r="A910" s="58"/>
      <c r="L910" s="21"/>
      <c r="M910" s="21"/>
      <c r="N910" s="21"/>
      <c r="P910" s="21"/>
    </row>
    <row r="911">
      <c r="A911" s="58"/>
      <c r="L911" s="21"/>
      <c r="M911" s="21"/>
      <c r="N911" s="21"/>
      <c r="P911" s="21"/>
    </row>
    <row r="912">
      <c r="A912" s="58"/>
      <c r="L912" s="21"/>
      <c r="M912" s="21"/>
      <c r="N912" s="21"/>
      <c r="P912" s="21"/>
    </row>
    <row r="913">
      <c r="A913" s="58"/>
      <c r="L913" s="21"/>
      <c r="M913" s="21"/>
      <c r="N913" s="21"/>
      <c r="P913" s="21"/>
    </row>
    <row r="914">
      <c r="A914" s="58"/>
      <c r="L914" s="21"/>
      <c r="M914" s="21"/>
      <c r="N914" s="21"/>
      <c r="P914" s="21"/>
    </row>
    <row r="915">
      <c r="A915" s="58"/>
      <c r="L915" s="21"/>
      <c r="M915" s="21"/>
      <c r="N915" s="21"/>
      <c r="P915" s="21"/>
    </row>
    <row r="916">
      <c r="A916" s="58"/>
      <c r="L916" s="21"/>
      <c r="M916" s="21"/>
      <c r="N916" s="21"/>
      <c r="P916" s="21"/>
    </row>
    <row r="917">
      <c r="A917" s="58"/>
      <c r="L917" s="21"/>
      <c r="M917" s="21"/>
      <c r="N917" s="21"/>
      <c r="P917" s="21"/>
    </row>
    <row r="918">
      <c r="A918" s="58"/>
      <c r="L918" s="21"/>
      <c r="M918" s="21"/>
      <c r="N918" s="21"/>
      <c r="P918" s="21"/>
    </row>
    <row r="919">
      <c r="A919" s="58"/>
      <c r="L919" s="21"/>
      <c r="M919" s="21"/>
      <c r="N919" s="21"/>
      <c r="P919" s="21"/>
    </row>
    <row r="920">
      <c r="A920" s="58"/>
      <c r="L920" s="21"/>
      <c r="M920" s="21"/>
      <c r="N920" s="21"/>
      <c r="P920" s="21"/>
    </row>
    <row r="921">
      <c r="A921" s="58"/>
      <c r="L921" s="21"/>
      <c r="M921" s="21"/>
      <c r="N921" s="21"/>
      <c r="P921" s="21"/>
    </row>
    <row r="922">
      <c r="A922" s="58"/>
      <c r="L922" s="21"/>
      <c r="M922" s="21"/>
      <c r="N922" s="21"/>
      <c r="P922" s="21"/>
    </row>
    <row r="923">
      <c r="A923" s="58"/>
      <c r="L923" s="21"/>
      <c r="M923" s="21"/>
      <c r="N923" s="21"/>
      <c r="P923" s="21"/>
    </row>
    <row r="924">
      <c r="A924" s="58"/>
      <c r="L924" s="21"/>
      <c r="M924" s="21"/>
      <c r="N924" s="21"/>
      <c r="P924" s="21"/>
    </row>
    <row r="925">
      <c r="A925" s="58"/>
      <c r="L925" s="21"/>
      <c r="M925" s="21"/>
      <c r="N925" s="21"/>
      <c r="P925" s="21"/>
    </row>
    <row r="926">
      <c r="A926" s="58"/>
      <c r="L926" s="21"/>
      <c r="M926" s="21"/>
      <c r="N926" s="21"/>
      <c r="P926" s="21"/>
    </row>
    <row r="927">
      <c r="A927" s="58"/>
      <c r="L927" s="21"/>
      <c r="M927" s="21"/>
      <c r="N927" s="21"/>
      <c r="P927" s="21"/>
    </row>
    <row r="928">
      <c r="A928" s="58"/>
      <c r="L928" s="21"/>
      <c r="M928" s="21"/>
      <c r="N928" s="21"/>
      <c r="P928" s="21"/>
    </row>
    <row r="929">
      <c r="A929" s="58"/>
      <c r="L929" s="21"/>
      <c r="M929" s="21"/>
      <c r="N929" s="21"/>
      <c r="P929" s="21"/>
    </row>
    <row r="930">
      <c r="A930" s="58"/>
      <c r="L930" s="21"/>
      <c r="M930" s="21"/>
      <c r="N930" s="21"/>
      <c r="P930" s="21"/>
    </row>
    <row r="931">
      <c r="A931" s="58"/>
      <c r="L931" s="21"/>
      <c r="M931" s="21"/>
      <c r="N931" s="21"/>
      <c r="P931" s="21"/>
    </row>
    <row r="932">
      <c r="A932" s="58"/>
      <c r="L932" s="21"/>
      <c r="M932" s="21"/>
      <c r="N932" s="21"/>
      <c r="P932" s="21"/>
    </row>
    <row r="933">
      <c r="A933" s="58"/>
      <c r="L933" s="21"/>
      <c r="M933" s="21"/>
      <c r="N933" s="21"/>
      <c r="P933" s="21"/>
    </row>
    <row r="934">
      <c r="A934" s="58"/>
      <c r="L934" s="21"/>
      <c r="M934" s="21"/>
      <c r="N934" s="21"/>
      <c r="P934" s="21"/>
    </row>
    <row r="935">
      <c r="A935" s="58"/>
      <c r="L935" s="21"/>
      <c r="M935" s="21"/>
      <c r="N935" s="21"/>
      <c r="P935" s="21"/>
    </row>
    <row r="936">
      <c r="A936" s="58"/>
      <c r="L936" s="21"/>
      <c r="M936" s="21"/>
      <c r="N936" s="21"/>
      <c r="P936" s="21"/>
    </row>
    <row r="937">
      <c r="A937" s="58"/>
      <c r="L937" s="21"/>
      <c r="M937" s="21"/>
      <c r="N937" s="21"/>
      <c r="P937" s="21"/>
    </row>
    <row r="938">
      <c r="A938" s="58"/>
      <c r="L938" s="21"/>
      <c r="M938" s="21"/>
      <c r="N938" s="21"/>
      <c r="P938" s="21"/>
    </row>
    <row r="939">
      <c r="A939" s="58"/>
      <c r="L939" s="21"/>
      <c r="M939" s="21"/>
      <c r="N939" s="21"/>
      <c r="P939" s="21"/>
    </row>
    <row r="940">
      <c r="A940" s="58"/>
      <c r="L940" s="21"/>
      <c r="M940" s="21"/>
      <c r="N940" s="21"/>
      <c r="P940" s="21"/>
    </row>
    <row r="941">
      <c r="A941" s="58"/>
      <c r="L941" s="21"/>
      <c r="M941" s="21"/>
      <c r="N941" s="21"/>
      <c r="P941" s="21"/>
    </row>
    <row r="942">
      <c r="A942" s="58"/>
      <c r="L942" s="21"/>
      <c r="M942" s="21"/>
      <c r="N942" s="21"/>
      <c r="P942" s="21"/>
    </row>
    <row r="943">
      <c r="A943" s="58"/>
      <c r="L943" s="21"/>
      <c r="M943" s="21"/>
      <c r="N943" s="21"/>
      <c r="P943" s="21"/>
    </row>
    <row r="944">
      <c r="A944" s="58"/>
      <c r="L944" s="21"/>
      <c r="M944" s="21"/>
      <c r="N944" s="21"/>
      <c r="P944" s="21"/>
    </row>
    <row r="945">
      <c r="A945" s="58"/>
      <c r="L945" s="21"/>
      <c r="M945" s="21"/>
      <c r="N945" s="21"/>
      <c r="P945" s="21"/>
    </row>
    <row r="946">
      <c r="A946" s="58"/>
      <c r="L946" s="21"/>
      <c r="M946" s="21"/>
      <c r="N946" s="21"/>
      <c r="P946" s="21"/>
    </row>
    <row r="947">
      <c r="A947" s="58"/>
      <c r="L947" s="21"/>
      <c r="M947" s="21"/>
      <c r="N947" s="21"/>
      <c r="P947" s="21"/>
    </row>
    <row r="948">
      <c r="A948" s="58"/>
      <c r="L948" s="21"/>
      <c r="M948" s="21"/>
      <c r="N948" s="21"/>
      <c r="P948" s="21"/>
    </row>
    <row r="949">
      <c r="A949" s="58"/>
      <c r="L949" s="21"/>
      <c r="M949" s="21"/>
      <c r="N949" s="21"/>
      <c r="P949" s="21"/>
    </row>
    <row r="950">
      <c r="A950" s="58"/>
      <c r="L950" s="21"/>
      <c r="M950" s="21"/>
      <c r="N950" s="21"/>
      <c r="P950" s="21"/>
    </row>
    <row r="951">
      <c r="A951" s="58"/>
      <c r="L951" s="21"/>
      <c r="M951" s="21"/>
      <c r="N951" s="21"/>
      <c r="P951" s="21"/>
    </row>
    <row r="952">
      <c r="A952" s="58"/>
      <c r="L952" s="21"/>
      <c r="M952" s="21"/>
      <c r="N952" s="21"/>
      <c r="P952" s="21"/>
    </row>
    <row r="953">
      <c r="A953" s="58"/>
      <c r="L953" s="21"/>
      <c r="M953" s="21"/>
      <c r="N953" s="21"/>
      <c r="P953" s="21"/>
    </row>
    <row r="954">
      <c r="A954" s="58"/>
      <c r="L954" s="21"/>
      <c r="M954" s="21"/>
      <c r="N954" s="21"/>
      <c r="P954" s="21"/>
    </row>
    <row r="955">
      <c r="A955" s="58"/>
      <c r="L955" s="21"/>
      <c r="M955" s="21"/>
      <c r="N955" s="21"/>
      <c r="P955" s="21"/>
    </row>
    <row r="956">
      <c r="A956" s="58"/>
      <c r="L956" s="21"/>
      <c r="M956" s="21"/>
      <c r="N956" s="21"/>
      <c r="P956" s="21"/>
    </row>
    <row r="957">
      <c r="A957" s="58"/>
      <c r="L957" s="21"/>
      <c r="M957" s="21"/>
      <c r="N957" s="21"/>
      <c r="P957" s="21"/>
    </row>
    <row r="958">
      <c r="A958" s="58"/>
      <c r="L958" s="21"/>
      <c r="M958" s="21"/>
      <c r="N958" s="21"/>
      <c r="P958" s="21"/>
    </row>
    <row r="959">
      <c r="A959" s="58"/>
      <c r="L959" s="21"/>
      <c r="M959" s="21"/>
      <c r="N959" s="21"/>
      <c r="P959" s="21"/>
    </row>
    <row r="960">
      <c r="A960" s="58"/>
      <c r="L960" s="21"/>
      <c r="M960" s="21"/>
      <c r="N960" s="21"/>
      <c r="P960" s="21"/>
    </row>
    <row r="961">
      <c r="A961" s="58"/>
      <c r="L961" s="21"/>
      <c r="M961" s="21"/>
      <c r="N961" s="21"/>
      <c r="P961" s="21"/>
    </row>
    <row r="962">
      <c r="A962" s="58"/>
      <c r="L962" s="21"/>
      <c r="M962" s="21"/>
      <c r="N962" s="21"/>
      <c r="P962" s="21"/>
    </row>
    <row r="963">
      <c r="A963" s="58"/>
      <c r="L963" s="21"/>
      <c r="M963" s="21"/>
      <c r="N963" s="21"/>
      <c r="P963" s="21"/>
    </row>
    <row r="964">
      <c r="A964" s="58"/>
      <c r="L964" s="21"/>
      <c r="M964" s="21"/>
      <c r="N964" s="21"/>
      <c r="P964" s="21"/>
    </row>
    <row r="965">
      <c r="A965" s="58"/>
      <c r="L965" s="21"/>
      <c r="M965" s="21"/>
      <c r="N965" s="21"/>
      <c r="P965" s="21"/>
    </row>
    <row r="966">
      <c r="A966" s="58"/>
      <c r="L966" s="21"/>
      <c r="M966" s="21"/>
      <c r="N966" s="21"/>
      <c r="P966" s="21"/>
    </row>
    <row r="967">
      <c r="A967" s="58"/>
      <c r="L967" s="21"/>
      <c r="M967" s="21"/>
      <c r="N967" s="21"/>
      <c r="P967" s="21"/>
    </row>
    <row r="968">
      <c r="A968" s="58"/>
      <c r="L968" s="21"/>
      <c r="M968" s="21"/>
      <c r="N968" s="21"/>
      <c r="P968" s="21"/>
    </row>
    <row r="969">
      <c r="A969" s="58"/>
      <c r="L969" s="21"/>
      <c r="M969" s="21"/>
      <c r="N969" s="21"/>
      <c r="P969" s="21"/>
    </row>
    <row r="970">
      <c r="A970" s="58"/>
      <c r="L970" s="21"/>
      <c r="M970" s="21"/>
      <c r="N970" s="21"/>
      <c r="P970" s="21"/>
    </row>
    <row r="971">
      <c r="A971" s="58"/>
      <c r="L971" s="21"/>
      <c r="M971" s="21"/>
      <c r="N971" s="21"/>
      <c r="P971" s="21"/>
    </row>
    <row r="972">
      <c r="A972" s="58"/>
      <c r="L972" s="21"/>
      <c r="M972" s="21"/>
      <c r="N972" s="21"/>
      <c r="P972" s="21"/>
    </row>
    <row r="973">
      <c r="A973" s="58"/>
      <c r="L973" s="21"/>
      <c r="M973" s="21"/>
      <c r="N973" s="21"/>
      <c r="P973" s="21"/>
    </row>
    <row r="974">
      <c r="A974" s="58"/>
      <c r="L974" s="21"/>
      <c r="M974" s="21"/>
      <c r="N974" s="21"/>
      <c r="P974" s="21"/>
    </row>
    <row r="975">
      <c r="A975" s="58"/>
      <c r="L975" s="21"/>
      <c r="M975" s="21"/>
      <c r="N975" s="21"/>
      <c r="P975" s="21"/>
    </row>
    <row r="976">
      <c r="A976" s="58"/>
      <c r="L976" s="21"/>
      <c r="M976" s="21"/>
      <c r="N976" s="21"/>
      <c r="P976" s="21"/>
    </row>
    <row r="977">
      <c r="A977" s="58"/>
      <c r="L977" s="21"/>
      <c r="M977" s="21"/>
      <c r="N977" s="21"/>
      <c r="P977" s="21"/>
    </row>
    <row r="978">
      <c r="A978" s="58"/>
      <c r="L978" s="21"/>
      <c r="M978" s="21"/>
      <c r="N978" s="21"/>
      <c r="P978" s="21"/>
    </row>
    <row r="979">
      <c r="A979" s="58"/>
      <c r="L979" s="21"/>
      <c r="M979" s="21"/>
      <c r="N979" s="21"/>
      <c r="P979" s="21"/>
    </row>
    <row r="980">
      <c r="A980" s="58"/>
      <c r="L980" s="21"/>
      <c r="M980" s="21"/>
      <c r="N980" s="21"/>
      <c r="P980" s="21"/>
    </row>
    <row r="981">
      <c r="A981" s="58"/>
      <c r="L981" s="21"/>
      <c r="M981" s="21"/>
      <c r="N981" s="21"/>
      <c r="P981" s="21"/>
    </row>
    <row r="982">
      <c r="A982" s="58"/>
      <c r="L982" s="21"/>
      <c r="M982" s="21"/>
      <c r="N982" s="21"/>
      <c r="P982" s="21"/>
    </row>
    <row r="983">
      <c r="A983" s="58"/>
      <c r="L983" s="21"/>
      <c r="M983" s="21"/>
      <c r="N983" s="21"/>
      <c r="P983" s="21"/>
    </row>
    <row r="984">
      <c r="A984" s="58"/>
      <c r="L984" s="21"/>
      <c r="M984" s="21"/>
      <c r="N984" s="21"/>
      <c r="P984" s="21"/>
    </row>
    <row r="985">
      <c r="A985" s="58"/>
      <c r="L985" s="21"/>
      <c r="M985" s="21"/>
      <c r="N985" s="21"/>
      <c r="P985" s="21"/>
    </row>
    <row r="986">
      <c r="A986" s="58"/>
      <c r="L986" s="21"/>
      <c r="M986" s="21"/>
      <c r="N986" s="21"/>
      <c r="P986" s="21"/>
    </row>
    <row r="987">
      <c r="A987" s="58"/>
      <c r="L987" s="21"/>
      <c r="M987" s="21"/>
      <c r="N987" s="21"/>
      <c r="P987" s="21"/>
    </row>
    <row r="988">
      <c r="A988" s="58"/>
      <c r="L988" s="21"/>
      <c r="M988" s="21"/>
      <c r="N988" s="21"/>
      <c r="P988" s="21"/>
    </row>
    <row r="989">
      <c r="A989" s="58"/>
      <c r="L989" s="21"/>
      <c r="M989" s="21"/>
      <c r="N989" s="21"/>
      <c r="P989" s="21"/>
    </row>
    <row r="990">
      <c r="A990" s="58"/>
      <c r="L990" s="21"/>
      <c r="M990" s="21"/>
      <c r="N990" s="21"/>
      <c r="P990" s="21"/>
    </row>
    <row r="991">
      <c r="A991" s="58"/>
      <c r="L991" s="21"/>
      <c r="M991" s="21"/>
      <c r="N991" s="21"/>
      <c r="P991" s="21"/>
    </row>
    <row r="992">
      <c r="A992" s="58"/>
      <c r="L992" s="21"/>
      <c r="M992" s="21"/>
      <c r="N992" s="21"/>
      <c r="P992" s="21"/>
    </row>
    <row r="993">
      <c r="A993" s="58"/>
      <c r="L993" s="21"/>
      <c r="M993" s="21"/>
      <c r="N993" s="21"/>
      <c r="P993" s="21"/>
    </row>
    <row r="994">
      <c r="A994" s="58"/>
      <c r="L994" s="21"/>
      <c r="M994" s="21"/>
      <c r="N994" s="21"/>
      <c r="P994" s="21"/>
    </row>
    <row r="995">
      <c r="A995" s="58"/>
      <c r="L995" s="21"/>
      <c r="M995" s="21"/>
      <c r="N995" s="21"/>
      <c r="P995" s="21"/>
    </row>
    <row r="996">
      <c r="A996" s="58"/>
      <c r="L996" s="21"/>
      <c r="M996" s="21"/>
      <c r="N996" s="21"/>
      <c r="P996" s="21"/>
    </row>
    <row r="997">
      <c r="A997" s="58"/>
      <c r="L997" s="21"/>
      <c r="M997" s="21"/>
      <c r="N997" s="21"/>
      <c r="P997" s="21"/>
    </row>
    <row r="998">
      <c r="A998" s="58"/>
      <c r="L998" s="21"/>
      <c r="M998" s="21"/>
      <c r="N998" s="21"/>
      <c r="P998" s="2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5.38"/>
    <col customWidth="1" min="4" max="4" width="18.5"/>
    <col customWidth="1" min="5" max="5" width="16.13"/>
    <col customWidth="1" min="6" max="6" width="16.63"/>
    <col customWidth="1" min="7" max="7" width="13.25"/>
  </cols>
  <sheetData>
    <row r="1">
      <c r="A1" s="59" t="s">
        <v>0</v>
      </c>
      <c r="B1" s="41" t="s">
        <v>11</v>
      </c>
      <c r="C1" s="27" t="s">
        <v>12</v>
      </c>
      <c r="D1" s="60" t="s">
        <v>55</v>
      </c>
      <c r="E1" s="48" t="s">
        <v>56</v>
      </c>
      <c r="F1" s="61" t="s">
        <v>57</v>
      </c>
      <c r="G1" s="62" t="s">
        <v>58</v>
      </c>
    </row>
    <row r="2">
      <c r="A2" s="54">
        <v>46055.0</v>
      </c>
      <c r="B2" s="21">
        <f>VLOOKUP(A2,dataset_descriptions!A:C,2,0)</f>
        <v>0.06346180035</v>
      </c>
      <c r="C2" s="21">
        <f>VLOOKUP(A2,dataset_descriptions!A:C,3,0)</f>
        <v>0.02770083102</v>
      </c>
      <c r="D2" s="21">
        <f>VLOOKUP(A2,'S&amp;P 500'!A:H,8,0)</f>
        <v>-0.0009698761931</v>
      </c>
      <c r="E2" s="21">
        <f>B2-'sharpe ratio'!F$10</f>
        <v>0.06270026189</v>
      </c>
      <c r="F2" s="21">
        <f>C2-'sharpe ratio'!F$10</f>
        <v>0.02693929256</v>
      </c>
      <c r="G2" s="21">
        <f>D2-'sharpe ratio'!F$10</f>
        <v>-0.001731414655</v>
      </c>
    </row>
    <row r="3">
      <c r="A3" s="54">
        <v>46048.0</v>
      </c>
      <c r="B3" s="21">
        <f>VLOOKUP(A3,dataset_descriptions!A:C,2,0)</f>
        <v>0.01324686077</v>
      </c>
      <c r="C3" s="21">
        <f>VLOOKUP(A3,dataset_descriptions!A:C,3,0)</f>
        <v>0.009507829978</v>
      </c>
      <c r="D3" s="21">
        <f>VLOOKUP(A3,'S&amp;P 500'!A:H,8,0)</f>
        <v>0.003386541462</v>
      </c>
      <c r="E3" s="21">
        <f>B3-'sharpe ratio'!$F$10</f>
        <v>0.01248532231</v>
      </c>
      <c r="F3" s="21">
        <f>C3-'sharpe ratio'!F$10</f>
        <v>0.008746291516</v>
      </c>
      <c r="G3" s="21">
        <f>D3-'sharpe ratio'!F$10</f>
        <v>0.002625003</v>
      </c>
    </row>
    <row r="4">
      <c r="A4" s="54">
        <v>46041.0</v>
      </c>
      <c r="B4" s="21">
        <f>VLOOKUP(A4,dataset_descriptions!A:C,2,0)</f>
        <v>-0.03681552366</v>
      </c>
      <c r="C4" s="21">
        <f>VLOOKUP(A4,dataset_descriptions!A:C,3,0)</f>
        <v>-0.05396825397</v>
      </c>
      <c r="D4" s="21">
        <f>VLOOKUP(A4,'S&amp;P 500'!A:H,8,0)</f>
        <v>-0.003515845078</v>
      </c>
      <c r="E4" s="21">
        <f>B4-'sharpe ratio'!$F$10</f>
        <v>-0.03757706212</v>
      </c>
      <c r="F4" s="21">
        <f>C4-'sharpe ratio'!F$10</f>
        <v>-0.05472979243</v>
      </c>
      <c r="G4" s="21">
        <f>D4-'sharpe ratio'!F$10</f>
        <v>-0.00427738354</v>
      </c>
    </row>
    <row r="5">
      <c r="A5" s="54">
        <v>46034.0</v>
      </c>
      <c r="B5" s="21">
        <f>VLOOKUP(A5,dataset_descriptions!A:C,2,0)</f>
        <v>-0.002254342925</v>
      </c>
      <c r="C5" s="21">
        <f>VLOOKUP(A5,dataset_descriptions!A:C,3,0)</f>
        <v>0.1059098888</v>
      </c>
      <c r="D5" s="21">
        <f>VLOOKUP(A5,'S&amp;P 500'!A:H,8,0)</f>
        <v>-0.003771022698</v>
      </c>
      <c r="E5" s="21">
        <f>B5-'sharpe ratio'!$F$10</f>
        <v>-0.003015881387</v>
      </c>
      <c r="F5" s="21">
        <f>C5-'sharpe ratio'!F$10</f>
        <v>0.1051483504</v>
      </c>
      <c r="G5" s="21">
        <f>D5-'sharpe ratio'!F$10</f>
        <v>-0.004532561159</v>
      </c>
    </row>
    <row r="6">
      <c r="A6" s="54">
        <v>46027.0</v>
      </c>
      <c r="B6" s="21">
        <f>VLOOKUP(A6,dataset_descriptions!A:C,2,0)</f>
        <v>-0.04229108458</v>
      </c>
      <c r="C6" s="21">
        <f>VLOOKUP(A6,dataset_descriptions!A:C,3,0)</f>
        <v>0.07013149656</v>
      </c>
      <c r="D6" s="21">
        <f>VLOOKUP(A6,'S&amp;P 500'!A:H,8,0)</f>
        <v>0.01571924934</v>
      </c>
      <c r="E6" s="21">
        <f>B6-'sharpe ratio'!$F$10</f>
        <v>-0.04305262304</v>
      </c>
      <c r="F6" s="21">
        <f>C6-'sharpe ratio'!F$10</f>
        <v>0.06936995809</v>
      </c>
      <c r="G6" s="21">
        <f>D6-'sharpe ratio'!F$10</f>
        <v>0.01495771088</v>
      </c>
    </row>
    <row r="7">
      <c r="A7" s="54">
        <v>46020.0</v>
      </c>
      <c r="B7" s="21">
        <f>VLOOKUP(A7,dataset_descriptions!A:C,2,0)</f>
        <v>0.01169214956</v>
      </c>
      <c r="C7" s="21">
        <f>VLOOKUP(A7,dataset_descriptions!A:C,3,0)</f>
        <v>0.005034612964</v>
      </c>
      <c r="D7" s="21">
        <f>VLOOKUP(A7,'S&amp;P 500'!A:H,8,0)</f>
        <v>-0.01031322061</v>
      </c>
      <c r="E7" s="21">
        <f>B7-'sharpe ratio'!$F$10</f>
        <v>0.0109306111</v>
      </c>
      <c r="F7" s="21">
        <f>C7-'sharpe ratio'!F$10</f>
        <v>0.004273074503</v>
      </c>
      <c r="G7" s="21">
        <f>D7-'sharpe ratio'!F$10</f>
        <v>-0.01107475907</v>
      </c>
    </row>
    <row r="8">
      <c r="A8" s="54">
        <v>46013.0</v>
      </c>
      <c r="B8" s="21">
        <f>VLOOKUP(A8,dataset_descriptions!A:C,2,0)</f>
        <v>-0.01218428735</v>
      </c>
      <c r="C8" s="21">
        <f>VLOOKUP(A8,dataset_descriptions!A:C,3,0)</f>
        <v>0.009529860229</v>
      </c>
      <c r="D8" s="21">
        <f>VLOOKUP(A8,'S&amp;P 500'!A:H,8,0)</f>
        <v>0.01396444509</v>
      </c>
      <c r="E8" s="21">
        <f>B8-'sharpe ratio'!$F$10</f>
        <v>-0.01294582581</v>
      </c>
      <c r="F8" s="21">
        <f>C8-'sharpe ratio'!F$10</f>
        <v>0.008768321767</v>
      </c>
      <c r="G8" s="21">
        <f>D8-'sharpe ratio'!F$10</f>
        <v>0.01320290663</v>
      </c>
    </row>
    <row r="9">
      <c r="A9" s="54">
        <v>46006.0</v>
      </c>
      <c r="B9" s="21">
        <f>VLOOKUP(A9,dataset_descriptions!A:C,2,0)</f>
        <v>0.01077613855</v>
      </c>
      <c r="C9" s="21">
        <f>VLOOKUP(A9,dataset_descriptions!A:C,3,0)</f>
        <v>-0.01686445971</v>
      </c>
      <c r="D9" s="21">
        <f>VLOOKUP(A9,'S&amp;P 500'!A:H,8,0)</f>
        <v>0.001038461144</v>
      </c>
      <c r="E9" s="21">
        <f>B9-'sharpe ratio'!$F$10</f>
        <v>0.01001460009</v>
      </c>
      <c r="F9" s="21">
        <f>C9-'sharpe ratio'!F$10</f>
        <v>-0.01762599817</v>
      </c>
      <c r="G9" s="21">
        <f>D9-'sharpe ratio'!F$10</f>
        <v>0.0002769226826</v>
      </c>
    </row>
    <row r="10">
      <c r="A10" s="54">
        <v>45999.0</v>
      </c>
      <c r="B10" s="21">
        <f>VLOOKUP(A10,dataset_descriptions!A:C,2,0)</f>
        <v>-0.01103780766</v>
      </c>
      <c r="C10" s="21">
        <f>VLOOKUP(A10,dataset_descriptions!A:C,3,0)</f>
        <v>-0.01658476658</v>
      </c>
      <c r="D10" s="21">
        <f>VLOOKUP(A10,'S&amp;P 500'!A:H,8,0)</f>
        <v>-0.006257277597</v>
      </c>
      <c r="E10" s="21">
        <f>B10-'sharpe ratio'!$F$10</f>
        <v>-0.01179934612</v>
      </c>
      <c r="F10" s="21">
        <f>C10-'sharpe ratio'!F$10</f>
        <v>-0.01734630505</v>
      </c>
      <c r="G10" s="21">
        <f>D10-'sharpe ratio'!F$10</f>
        <v>-0.007018816058</v>
      </c>
    </row>
    <row r="11">
      <c r="A11" s="54">
        <v>45992.0</v>
      </c>
      <c r="B11" s="21">
        <f>VLOOKUP(A11,dataset_descriptions!A:C,2,0)</f>
        <v>-0.01265188526</v>
      </c>
      <c r="C11" s="21">
        <f>VLOOKUP(A11,dataset_descriptions!A:C,3,0)</f>
        <v>0.03168567807</v>
      </c>
      <c r="D11" s="21">
        <f>VLOOKUP(A11,'S&amp;P 500'!A:H,8,0)</f>
        <v>0.003111362239</v>
      </c>
      <c r="E11" s="21">
        <f>B11-'sharpe ratio'!$F$10</f>
        <v>-0.01341342372</v>
      </c>
      <c r="F11" s="21">
        <f>C11-'sharpe ratio'!F$10</f>
        <v>0.03092413961</v>
      </c>
      <c r="G11" s="21">
        <f>D11-'sharpe ratio'!F$10</f>
        <v>0.002349823778</v>
      </c>
    </row>
    <row r="12">
      <c r="A12" s="54">
        <v>45985.0</v>
      </c>
      <c r="B12" s="21">
        <f>VLOOKUP(A12,dataset_descriptions!A:C,2,0)</f>
        <v>-0.0116379844</v>
      </c>
      <c r="C12" s="21">
        <f>VLOOKUP(A12,dataset_descriptions!A:C,3,0)</f>
        <v>0.03815789474</v>
      </c>
      <c r="D12" s="21">
        <f>VLOOKUP(A12,'S&amp;P 500'!A:H,8,0)</f>
        <v>0.0372709939</v>
      </c>
      <c r="E12" s="21">
        <f>B12-'sharpe ratio'!$F$10</f>
        <v>-0.01239952286</v>
      </c>
      <c r="F12" s="21">
        <f>C12-'sharpe ratio'!F$10</f>
        <v>0.03739635628</v>
      </c>
      <c r="G12" s="21">
        <f>D12-'sharpe ratio'!F$10</f>
        <v>0.03650945544</v>
      </c>
    </row>
    <row r="13">
      <c r="A13" s="54">
        <v>45978.0</v>
      </c>
      <c r="B13" s="21">
        <f>VLOOKUP(A13,dataset_descriptions!A:C,2,0)</f>
        <v>0.005727804757</v>
      </c>
      <c r="C13" s="21">
        <f>VLOOKUP(A13,dataset_descriptions!A:C,3,0)</f>
        <v>-0.03736542115</v>
      </c>
      <c r="D13" s="21">
        <f>VLOOKUP(A13,'S&amp;P 500'!A:H,8,0)</f>
        <v>-0.01947102141</v>
      </c>
      <c r="E13" s="21">
        <f>B13-'sharpe ratio'!$F$10</f>
        <v>0.004966266295</v>
      </c>
      <c r="F13" s="21">
        <f>C13-'sharpe ratio'!F$10</f>
        <v>-0.03812695961</v>
      </c>
      <c r="G13" s="21">
        <f>D13-'sharpe ratio'!F$10</f>
        <v>-0.02023255987</v>
      </c>
    </row>
    <row r="14">
      <c r="A14" s="54">
        <v>45971.0</v>
      </c>
      <c r="B14" s="21">
        <f>VLOOKUP(A14,dataset_descriptions!A:C,2,0)</f>
        <v>0.01504044489</v>
      </c>
      <c r="C14" s="21">
        <f>VLOOKUP(A14,dataset_descriptions!A:C,3,0)</f>
        <v>0.04708222812</v>
      </c>
      <c r="D14" s="21">
        <f>VLOOKUP(A14,'S&amp;P 500'!A:H,8,0)</f>
        <v>0.000789145167</v>
      </c>
      <c r="E14" s="21">
        <f>B14-'sharpe ratio'!$F$10</f>
        <v>0.01427890643</v>
      </c>
      <c r="F14" s="21">
        <f>C14-'sharpe ratio'!F$10</f>
        <v>0.04632068966</v>
      </c>
      <c r="G14" s="21">
        <f>D14-'sharpe ratio'!F$10</f>
        <v>0.0000276067055</v>
      </c>
    </row>
    <row r="15">
      <c r="A15" s="54">
        <v>45964.0</v>
      </c>
      <c r="B15" s="21">
        <f>VLOOKUP(A15,dataset_descriptions!A:C,2,0)</f>
        <v>0.02913631634</v>
      </c>
      <c r="C15" s="21">
        <f>VLOOKUP(A15,dataset_descriptions!A:C,3,0)</f>
        <v>-0.003304692664</v>
      </c>
      <c r="D15" s="21">
        <f>VLOOKUP(A15,'S&amp;P 500'!A:H,8,0)</f>
        <v>-0.01628607351</v>
      </c>
      <c r="E15" s="21">
        <f>B15-'sharpe ratio'!$F$10</f>
        <v>0.02837477788</v>
      </c>
      <c r="F15" s="21">
        <f>C15-'sharpe ratio'!F$10</f>
        <v>-0.004066231125</v>
      </c>
      <c r="G15" s="21">
        <f>D15-'sharpe ratio'!F$10</f>
        <v>-0.01704761197</v>
      </c>
    </row>
    <row r="16">
      <c r="A16" s="54">
        <v>45957.0</v>
      </c>
      <c r="B16" s="21">
        <f>VLOOKUP(A16,dataset_descriptions!A:C,2,0)</f>
        <v>-0.0403195606</v>
      </c>
      <c r="C16" s="21">
        <f>VLOOKUP(A16,dataset_descriptions!A:C,3,0)</f>
        <v>0.02437373053</v>
      </c>
      <c r="D16" s="21">
        <f>VLOOKUP(A16,'S&amp;P 500'!A:H,8,0)</f>
        <v>0.007142552148</v>
      </c>
      <c r="E16" s="21">
        <f>B16-'sharpe ratio'!$F$10</f>
        <v>-0.04108109907</v>
      </c>
      <c r="F16" s="21">
        <f>C16-'sharpe ratio'!F$10</f>
        <v>0.02361219207</v>
      </c>
      <c r="G16" s="21">
        <f>D16-'sharpe ratio'!F$10</f>
        <v>0.006381013687</v>
      </c>
    </row>
    <row r="17">
      <c r="A17" s="54">
        <v>45950.0</v>
      </c>
      <c r="B17" s="21">
        <f>VLOOKUP(A17,dataset_descriptions!A:C,2,0)</f>
        <v>-0.05564069315</v>
      </c>
      <c r="C17" s="21">
        <f>VLOOKUP(A17,dataset_descriptions!A:C,3,0)</f>
        <v>-0.01533333333</v>
      </c>
      <c r="D17" s="21">
        <f>VLOOKUP(A17,'S&amp;P 500'!A:H,8,0)</f>
        <v>0.01915963511</v>
      </c>
      <c r="E17" s="21">
        <f>B17-'sharpe ratio'!$F$10</f>
        <v>-0.05640223161</v>
      </c>
      <c r="F17" s="21">
        <f>C17-'sharpe ratio'!F$10</f>
        <v>-0.01609487179</v>
      </c>
      <c r="G17" s="21">
        <f>D17-'sharpe ratio'!F$10</f>
        <v>0.01839809665</v>
      </c>
    </row>
    <row r="18">
      <c r="A18" s="54">
        <v>45943.0</v>
      </c>
      <c r="B18" s="21">
        <f>VLOOKUP(A18,dataset_descriptions!A:C,2,0)</f>
        <v>0.1219415421</v>
      </c>
      <c r="C18" s="21">
        <f>VLOOKUP(A18,dataset_descriptions!A:C,3,0)</f>
        <v>0.02599179207</v>
      </c>
      <c r="D18" s="21">
        <f>VLOOKUP(A18,'S&amp;P 500'!A:H,8,0)</f>
        <v>0.01701637998</v>
      </c>
      <c r="E18" s="21">
        <f>B18-'sharpe ratio'!$F$10</f>
        <v>0.1211800037</v>
      </c>
      <c r="F18" s="21">
        <f>C18-'sharpe ratio'!F$10</f>
        <v>0.0252302536</v>
      </c>
      <c r="G18" s="21">
        <f>D18-'sharpe ratio'!F$10</f>
        <v>0.01625484152</v>
      </c>
    </row>
    <row r="19">
      <c r="A19" s="54">
        <v>45936.0</v>
      </c>
      <c r="B19" s="21">
        <f>VLOOKUP(A19,dataset_descriptions!A:C,2,0)</f>
        <v>0.01900269542</v>
      </c>
      <c r="C19" s="21">
        <f>VLOOKUP(A19,dataset_descriptions!A:C,3,0)</f>
        <v>-0.07233502538</v>
      </c>
      <c r="D19" s="21">
        <f>VLOOKUP(A19,'S&amp;P 500'!A:H,8,0)</f>
        <v>-0.02431285076</v>
      </c>
      <c r="E19" s="21">
        <f>B19-'sharpe ratio'!$F$10</f>
        <v>0.01824115696</v>
      </c>
      <c r="F19" s="21">
        <f>C19-'sharpe ratio'!F$10</f>
        <v>-0.07309656384</v>
      </c>
      <c r="G19" s="21">
        <f>D19-'sharpe ratio'!F$10</f>
        <v>-0.02507438922</v>
      </c>
    </row>
    <row r="20">
      <c r="A20" s="54">
        <v>45929.0</v>
      </c>
      <c r="B20" s="21">
        <f>VLOOKUP(A20,dataset_descriptions!A:C,2,0)</f>
        <v>0.04301377565</v>
      </c>
      <c r="C20" s="21">
        <f>VLOOKUP(A20,dataset_descriptions!A:C,3,0)</f>
        <v>-0.0174563591</v>
      </c>
      <c r="D20" s="21">
        <f>VLOOKUP(A20,'S&amp;P 500'!A:H,8,0)</f>
        <v>0.01085088129</v>
      </c>
      <c r="E20" s="21">
        <f>B20-'sharpe ratio'!$F$10</f>
        <v>0.04225223719</v>
      </c>
      <c r="F20" s="21">
        <f>C20-'sharpe ratio'!F$10</f>
        <v>-0.01821789756</v>
      </c>
      <c r="G20" s="21">
        <f>D20-'sharpe ratio'!F$10</f>
        <v>0.01008934282</v>
      </c>
    </row>
    <row r="21">
      <c r="A21" s="54">
        <v>45922.0</v>
      </c>
      <c r="B21" s="21">
        <f>VLOOKUP(A21,dataset_descriptions!A:C,2,0)</f>
        <v>-0.0176746755</v>
      </c>
      <c r="C21" s="21">
        <f>VLOOKUP(A21,dataset_descriptions!A:C,3,0)</f>
        <v>0.0119873817</v>
      </c>
      <c r="D21" s="21">
        <f>VLOOKUP(A21,'S&amp;P 500'!A:H,8,0)</f>
        <v>-0.003100072625</v>
      </c>
      <c r="E21" s="21">
        <f>B21-'sharpe ratio'!$F$10</f>
        <v>-0.01843621397</v>
      </c>
      <c r="F21" s="21">
        <f>C21-'sharpe ratio'!F$10</f>
        <v>0.01122584324</v>
      </c>
      <c r="G21" s="21">
        <f>D21-'sharpe ratio'!F$10</f>
        <v>-0.003861611087</v>
      </c>
    </row>
    <row r="22">
      <c r="A22" s="54">
        <v>45915.0</v>
      </c>
      <c r="B22" s="21">
        <f>VLOOKUP(A22,dataset_descriptions!A:C,2,0)</f>
        <v>-0.00767333516</v>
      </c>
      <c r="C22" s="21">
        <f>VLOOKUP(A22,dataset_descriptions!A:C,3,0)</f>
        <v>0.01798330122</v>
      </c>
      <c r="D22" s="21">
        <f>VLOOKUP(A22,'S&amp;P 500'!A:H,8,0)</f>
        <v>0.01216076449</v>
      </c>
      <c r="E22" s="21">
        <f>B22-'sharpe ratio'!$F$10</f>
        <v>-0.008434873622</v>
      </c>
      <c r="F22" s="21">
        <f>C22-'sharpe ratio'!F$10</f>
        <v>0.01722176276</v>
      </c>
      <c r="G22" s="21">
        <f>D22-'sharpe ratio'!F$10</f>
        <v>0.01139922602</v>
      </c>
    </row>
    <row r="23">
      <c r="A23" s="54">
        <v>45908.0</v>
      </c>
      <c r="B23" s="21">
        <f>VLOOKUP(A23,dataset_descriptions!A:C,2,0)</f>
        <v>-0.03222384299</v>
      </c>
      <c r="C23" s="21">
        <f>VLOOKUP(A23,dataset_descriptions!A:C,3,0)</f>
        <v>0.01964636542</v>
      </c>
      <c r="D23" s="21">
        <f>VLOOKUP(A23,'S&amp;P 500'!A:H,8,0)</f>
        <v>0.01585898326</v>
      </c>
      <c r="E23" s="21">
        <f>B23-'sharpe ratio'!$F$10</f>
        <v>-0.03298538145</v>
      </c>
      <c r="F23" s="21">
        <f>C23-'sharpe ratio'!F$10</f>
        <v>0.01888482696</v>
      </c>
      <c r="G23" s="21">
        <f>D23-'sharpe ratio'!F$10</f>
        <v>0.0150974448</v>
      </c>
    </row>
    <row r="24">
      <c r="A24" s="54">
        <v>45901.0</v>
      </c>
      <c r="B24" s="21">
        <f>VLOOKUP(A24,dataset_descriptions!A:C,2,0)</f>
        <v>0.0002652871734</v>
      </c>
      <c r="C24" s="21">
        <f>VLOOKUP(A24,dataset_descriptions!A:C,3,0)</f>
        <v>-0.001308044474</v>
      </c>
      <c r="D24" s="21">
        <f>VLOOKUP(A24,'S&amp;P 500'!A:H,8,0)</f>
        <v>0.003287793371</v>
      </c>
      <c r="E24" s="21">
        <f>B24-'sharpe ratio'!$F$10</f>
        <v>-0.0004962512882</v>
      </c>
      <c r="F24" s="21">
        <f>C24-'sharpe ratio'!F$10</f>
        <v>-0.002069582935</v>
      </c>
      <c r="G24" s="21">
        <f>D24-'sharpe ratio'!F$10</f>
        <v>0.002526254909</v>
      </c>
    </row>
    <row r="25">
      <c r="A25" s="54">
        <v>45894.0</v>
      </c>
      <c r="B25" s="21">
        <f>VLOOKUP(A25,dataset_descriptions!A:C,2,0)</f>
        <v>0.000398089172</v>
      </c>
      <c r="C25" s="21">
        <f>VLOOKUP(A25,dataset_descriptions!A:C,3,0)</f>
        <v>-0.01987179487</v>
      </c>
      <c r="D25" s="21">
        <f>VLOOKUP(A25,'S&amp;P 500'!A:H,8,0)</f>
        <v>-0.001028311821</v>
      </c>
      <c r="E25" s="21">
        <f>B25-'sharpe ratio'!$F$10</f>
        <v>-0.0003634492896</v>
      </c>
      <c r="F25" s="21">
        <f>C25-'sharpe ratio'!F$10</f>
        <v>-0.02063333333</v>
      </c>
      <c r="G25" s="21">
        <f>D25-'sharpe ratio'!F$10</f>
        <v>-0.001789850283</v>
      </c>
    </row>
    <row r="26">
      <c r="A26" s="54">
        <v>45887.0</v>
      </c>
      <c r="B26" s="21">
        <f>VLOOKUP(A26,dataset_descriptions!A:C,2,0)</f>
        <v>0.0417473044</v>
      </c>
      <c r="C26" s="21">
        <f>VLOOKUP(A26,dataset_descriptions!A:C,3,0)</f>
        <v>-0.01886792453</v>
      </c>
      <c r="D26" s="21">
        <f>VLOOKUP(A26,'S&amp;P 500'!A:H,8,0)</f>
        <v>0.002652795436</v>
      </c>
      <c r="E26" s="21">
        <f>B26-'sharpe ratio'!$F$10</f>
        <v>0.04098576593</v>
      </c>
      <c r="F26" s="21">
        <f>C26-'sharpe ratio'!F$10</f>
        <v>-0.01962946299</v>
      </c>
      <c r="G26" s="21">
        <f>D26-'sharpe ratio'!F$10</f>
        <v>0.001891256974</v>
      </c>
    </row>
    <row r="27">
      <c r="A27" s="54">
        <v>45880.0</v>
      </c>
      <c r="B27" s="21">
        <f>VLOOKUP(A27,dataset_descriptions!A:C,2,0)</f>
        <v>0.003328710125</v>
      </c>
      <c r="C27" s="21">
        <f>VLOOKUP(A27,dataset_descriptions!A:C,3,0)</f>
        <v>0.09203296703</v>
      </c>
      <c r="D27" s="21">
        <f>VLOOKUP(A27,'S&amp;P 500'!A:H,8,0)</f>
        <v>0.009445257417</v>
      </c>
      <c r="E27" s="21">
        <f>B27-'sharpe ratio'!$F$10</f>
        <v>0.002567171663</v>
      </c>
      <c r="F27" s="21">
        <f>C27-'sharpe ratio'!F$10</f>
        <v>0.09127142857</v>
      </c>
      <c r="G27" s="21">
        <f>D27-'sharpe ratio'!F$10</f>
        <v>0.008683718955</v>
      </c>
    </row>
    <row r="28">
      <c r="A28" s="54">
        <v>45873.0</v>
      </c>
      <c r="B28" s="21">
        <f>VLOOKUP(A28,dataset_descriptions!A:C,2,0)</f>
        <v>0.01406469761</v>
      </c>
      <c r="C28" s="21">
        <f>VLOOKUP(A28,dataset_descriptions!A:C,3,0)</f>
        <v>0.04597701149</v>
      </c>
      <c r="D28" s="21">
        <f>VLOOKUP(A28,'S&amp;P 500'!A:H,8,0)</f>
        <v>0.02427697294</v>
      </c>
      <c r="E28" s="21">
        <f>B28-'sharpe ratio'!$F$10</f>
        <v>0.01330315915</v>
      </c>
      <c r="F28" s="21">
        <f>C28-'sharpe ratio'!F$10</f>
        <v>0.04521547303</v>
      </c>
      <c r="G28" s="21">
        <f>D28-'sharpe ratio'!F$10</f>
        <v>0.02351543448</v>
      </c>
    </row>
    <row r="29">
      <c r="A29" s="54">
        <v>45866.0</v>
      </c>
      <c r="B29" s="21">
        <f>VLOOKUP(A29,dataset_descriptions!A:C,2,0)</f>
        <v>-0.03027823241</v>
      </c>
      <c r="C29" s="21">
        <f>VLOOKUP(A29,dataset_descriptions!A:C,3,0)</f>
        <v>-0.05112474438</v>
      </c>
      <c r="D29" s="21">
        <f>VLOOKUP(A29,'S&amp;P 500'!A:H,8,0)</f>
        <v>-0.02357778807</v>
      </c>
      <c r="E29" s="21">
        <f>B29-'sharpe ratio'!$F$10</f>
        <v>-0.03103977087</v>
      </c>
      <c r="F29" s="21">
        <f>C29-'sharpe ratio'!F$10</f>
        <v>-0.05188628284</v>
      </c>
      <c r="G29" s="21">
        <f>D29-'sharpe ratio'!F$10</f>
        <v>-0.02433932654</v>
      </c>
    </row>
    <row r="30">
      <c r="A30" s="54">
        <v>45859.0</v>
      </c>
      <c r="B30" s="21">
        <f>VLOOKUP(A30,dataset_descriptions!A:C,2,0)</f>
        <v>-0.0566134843</v>
      </c>
      <c r="C30" s="21">
        <f>VLOOKUP(A30,dataset_descriptions!A:C,3,0)</f>
        <v>0.1038374718</v>
      </c>
      <c r="D30" s="21">
        <f>VLOOKUP(A30,'S&amp;P 500'!A:H,8,0)</f>
        <v>0.0145867974</v>
      </c>
      <c r="E30" s="21">
        <f>B30-'sharpe ratio'!$F$10</f>
        <v>-0.05737502276</v>
      </c>
      <c r="F30" s="21">
        <f>C30-'sharpe ratio'!F$10</f>
        <v>0.1030759333</v>
      </c>
      <c r="G30" s="21">
        <f>D30-'sharpe ratio'!F$10</f>
        <v>0.01382525894</v>
      </c>
    </row>
    <row r="31">
      <c r="A31" s="54">
        <v>45852.0</v>
      </c>
      <c r="B31" s="21">
        <f>VLOOKUP(A31,dataset_descriptions!A:C,2,0)</f>
        <v>0.009481750877</v>
      </c>
      <c r="C31" s="21">
        <f>VLOOKUP(A31,dataset_descriptions!A:C,3,0)</f>
        <v>-0.0292184076</v>
      </c>
      <c r="D31" s="21">
        <f>VLOOKUP(A31,'S&amp;P 500'!A:H,8,0)</f>
        <v>0.005917169216</v>
      </c>
      <c r="E31" s="21">
        <f>B31-'sharpe ratio'!$F$10</f>
        <v>0.008720212415</v>
      </c>
      <c r="F31" s="21">
        <f>C31-'sharpe ratio'!F$10</f>
        <v>-0.02997994606</v>
      </c>
      <c r="G31" s="21">
        <f>D31-'sharpe ratio'!F$10</f>
        <v>0.005155630754</v>
      </c>
    </row>
    <row r="32">
      <c r="A32" s="54">
        <v>45845.0</v>
      </c>
      <c r="B32" s="21">
        <f>VLOOKUP(A32,dataset_descriptions!A:C,2,0)</f>
        <v>-0.02876245742</v>
      </c>
      <c r="C32" s="21">
        <f>VLOOKUP(A32,dataset_descriptions!A:C,3,0)</f>
        <v>-0.01934097421</v>
      </c>
      <c r="D32" s="21">
        <f>VLOOKUP(A32,'S&amp;P 500'!A:H,8,0)</f>
        <v>-0.003121342177</v>
      </c>
      <c r="E32" s="21">
        <f>B32-'sharpe ratio'!$F$10</f>
        <v>-0.02952399589</v>
      </c>
      <c r="F32" s="21">
        <f>C32-'sharpe ratio'!F$10</f>
        <v>-0.02010251267</v>
      </c>
      <c r="G32" s="21">
        <f>D32-'sharpe ratio'!F$10</f>
        <v>-0.003882880639</v>
      </c>
    </row>
    <row r="33">
      <c r="A33" s="54">
        <v>45838.0</v>
      </c>
      <c r="B33" s="21">
        <f>VLOOKUP(A33,dataset_descriptions!A:C,2,0)</f>
        <v>-0.0002522386177</v>
      </c>
      <c r="C33" s="21">
        <f>VLOOKUP(A33,dataset_descriptions!A:C,3,0)</f>
        <v>0.005039596832</v>
      </c>
      <c r="D33" s="21">
        <f>VLOOKUP(A33,'S&amp;P 500'!A:H,8,0)</f>
        <v>0.01721671713</v>
      </c>
      <c r="E33" s="21">
        <f>B33-'sharpe ratio'!$F$10</f>
        <v>-0.001013777079</v>
      </c>
      <c r="F33" s="21">
        <f>C33-'sharpe ratio'!F$10</f>
        <v>0.004278058371</v>
      </c>
      <c r="G33" s="21">
        <f>D33-'sharpe ratio'!F$10</f>
        <v>0.01645517867</v>
      </c>
    </row>
    <row r="34">
      <c r="A34" s="54">
        <v>45831.0</v>
      </c>
      <c r="B34" s="21">
        <f>VLOOKUP(A34,dataset_descriptions!A:C,2,0)</f>
        <v>-0.02759381898</v>
      </c>
      <c r="C34" s="21">
        <f>VLOOKUP(A34,dataset_descriptions!A:C,3,0)</f>
        <v>0.0281273131</v>
      </c>
      <c r="D34" s="21">
        <f>VLOOKUP(A34,'S&amp;P 500'!A:H,8,0)</f>
        <v>0.03438932679</v>
      </c>
      <c r="E34" s="21">
        <f>B34-'sharpe ratio'!$F$10</f>
        <v>-0.02835535745</v>
      </c>
      <c r="F34" s="21">
        <f>C34-'sharpe ratio'!F$10</f>
        <v>0.02736577464</v>
      </c>
      <c r="G34" s="21">
        <f>D34-'sharpe ratio'!F$10</f>
        <v>0.03362778833</v>
      </c>
    </row>
    <row r="35">
      <c r="A35" s="54">
        <v>45824.0</v>
      </c>
      <c r="B35" s="21">
        <f>VLOOKUP(A35,dataset_descriptions!A:C,2,0)</f>
        <v>-0.03216617211</v>
      </c>
      <c r="C35" s="21">
        <f>VLOOKUP(A35,dataset_descriptions!A:C,3,0)</f>
        <v>-0.007347538575</v>
      </c>
      <c r="D35" s="21">
        <f>VLOOKUP(A35,'S&amp;P 500'!A:H,8,0)</f>
        <v>-0.001527529835</v>
      </c>
      <c r="E35" s="21">
        <f>B35-'sharpe ratio'!$F$10</f>
        <v>-0.03292771057</v>
      </c>
      <c r="F35" s="21">
        <f>C35-'sharpe ratio'!F$10</f>
        <v>-0.008109077036</v>
      </c>
      <c r="G35" s="21">
        <f>D35-'sharpe ratio'!F$10</f>
        <v>-0.002289068297</v>
      </c>
    </row>
    <row r="36">
      <c r="A36" s="54">
        <v>45817.0</v>
      </c>
      <c r="B36" s="21">
        <f>VLOOKUP(A36,dataset_descriptions!A:C,2,0)</f>
        <v>-0.02825836217</v>
      </c>
      <c r="C36" s="21">
        <f>VLOOKUP(A36,dataset_descriptions!A:C,3,0)</f>
        <v>-0.01661849711</v>
      </c>
      <c r="D36" s="21">
        <f>VLOOKUP(A36,'S&amp;P 500'!A:H,8,0)</f>
        <v>-0.003898099447</v>
      </c>
      <c r="E36" s="21">
        <f>B36-'sharpe ratio'!$F$10</f>
        <v>-0.02901990063</v>
      </c>
      <c r="F36" s="21">
        <f>C36-'sharpe ratio'!F$10</f>
        <v>-0.01738003557</v>
      </c>
      <c r="G36" s="21">
        <f>D36-'sharpe ratio'!F$10</f>
        <v>-0.004659637909</v>
      </c>
    </row>
    <row r="37">
      <c r="A37" s="54">
        <v>45810.0</v>
      </c>
      <c r="B37" s="21">
        <f>VLOOKUP(A37,dataset_descriptions!A:C,2,0)</f>
        <v>-0.01140250855</v>
      </c>
      <c r="C37" s="21">
        <f>VLOOKUP(A37,dataset_descriptions!A:C,3,0)</f>
        <v>-0.01983002833</v>
      </c>
      <c r="D37" s="21">
        <f>VLOOKUP(A37,'S&amp;P 500'!A:H,8,0)</f>
        <v>0.01499909501</v>
      </c>
      <c r="E37" s="21">
        <f>B37-'sharpe ratio'!$F$10</f>
        <v>-0.01216404701</v>
      </c>
      <c r="F37" s="21">
        <f>C37-'sharpe ratio'!F$10</f>
        <v>-0.02059156679</v>
      </c>
      <c r="G37" s="21">
        <f>D37-'sharpe ratio'!F$10</f>
        <v>0.01423755655</v>
      </c>
    </row>
    <row r="38">
      <c r="A38" s="54">
        <v>45803.0</v>
      </c>
      <c r="B38" s="21">
        <f>VLOOKUP(A38,dataset_descriptions!A:C,2,0)</f>
        <v>-0.00926344329</v>
      </c>
      <c r="C38" s="21">
        <f>VLOOKUP(A38,dataset_descriptions!A:C,3,0)</f>
        <v>0.04283604136</v>
      </c>
      <c r="D38" s="21">
        <f>VLOOKUP(A38,'S&amp;P 500'!A:H,8,0)</f>
        <v>0.01876156765</v>
      </c>
      <c r="E38" s="21">
        <f>B38-'sharpe ratio'!$F$10</f>
        <v>-0.01002498175</v>
      </c>
      <c r="F38" s="21">
        <f>C38-'sharpe ratio'!F$10</f>
        <v>0.0420745029</v>
      </c>
      <c r="G38" s="21">
        <f>D38-'sharpe ratio'!F$10</f>
        <v>0.01800002919</v>
      </c>
    </row>
    <row r="39">
      <c r="A39" s="54">
        <v>45796.0</v>
      </c>
      <c r="B39" s="21">
        <f>VLOOKUP(A39,dataset_descriptions!A:C,2,0)</f>
        <v>0.0235892692</v>
      </c>
      <c r="C39" s="21">
        <f>VLOOKUP(A39,dataset_descriptions!A:C,3,0)</f>
        <v>0</v>
      </c>
      <c r="D39" s="21">
        <f>VLOOKUP(A39,'S&amp;P 500'!A:H,8,0)</f>
        <v>-0.02610776755</v>
      </c>
      <c r="E39" s="21">
        <f>B39-'sharpe ratio'!$F$10</f>
        <v>0.02282773073</v>
      </c>
      <c r="F39" s="21">
        <f>C39-'sharpe ratio'!F$10</f>
        <v>-0.0007615384615</v>
      </c>
      <c r="G39" s="21">
        <f>D39-'sharpe ratio'!F$10</f>
        <v>-0.02686930601</v>
      </c>
    </row>
    <row r="40">
      <c r="A40" s="54">
        <v>45789.0</v>
      </c>
      <c r="B40" s="21">
        <f>VLOOKUP(A40,dataset_descriptions!A:C,2,0)</f>
        <v>-0.01334854535</v>
      </c>
      <c r="C40" s="21">
        <f>VLOOKUP(A40,dataset_descriptions!A:C,3,0)</f>
        <v>0.08060654429</v>
      </c>
      <c r="D40" s="21">
        <f>VLOOKUP(A40,'S&amp;P 500'!A:H,8,0)</f>
        <v>0.05273405408</v>
      </c>
      <c r="E40" s="21">
        <f>B40-'sharpe ratio'!$F$10</f>
        <v>-0.01411008381</v>
      </c>
      <c r="F40" s="21">
        <f>C40-'sharpe ratio'!F$10</f>
        <v>0.07984500583</v>
      </c>
      <c r="G40" s="21">
        <f>D40-'sharpe ratio'!F$10</f>
        <v>0.05197251561</v>
      </c>
    </row>
    <row r="41">
      <c r="A41" s="54">
        <v>45782.0</v>
      </c>
      <c r="B41" s="21">
        <f>VLOOKUP(A41,dataset_descriptions!A:C,2,0)</f>
        <v>0.0005707762557</v>
      </c>
      <c r="C41" s="21">
        <f>VLOOKUP(A41,dataset_descriptions!A:C,3,0)</f>
        <v>0.01869918699</v>
      </c>
      <c r="D41" s="21">
        <f>VLOOKUP(A41,'S&amp;P 500'!A:H,8,0)</f>
        <v>-0.004705741673</v>
      </c>
      <c r="E41" s="21">
        <f>B41-'sharpe ratio'!$F$10</f>
        <v>-0.0001907622058</v>
      </c>
      <c r="F41" s="21">
        <f>C41-'sharpe ratio'!F$10</f>
        <v>0.01793764853</v>
      </c>
      <c r="G41" s="21">
        <f>D41-'sharpe ratio'!F$10</f>
        <v>-0.005467280135</v>
      </c>
    </row>
    <row r="42">
      <c r="A42" s="54">
        <v>45775.0</v>
      </c>
      <c r="B42" s="21">
        <f>VLOOKUP(A42,dataset_descriptions!A:C,2,0)</f>
        <v>0.06152223151</v>
      </c>
      <c r="C42" s="21">
        <f>VLOOKUP(A42,dataset_descriptions!A:C,3,0)</f>
        <v>0.002444987775</v>
      </c>
      <c r="D42" s="21">
        <f>VLOOKUP(A42,'S&amp;P 500'!A:H,8,0)</f>
        <v>0.0292224187</v>
      </c>
      <c r="E42" s="21">
        <f>B42-'sharpe ratio'!$F$10</f>
        <v>0.06076069305</v>
      </c>
      <c r="F42" s="21">
        <f>C42-'sharpe ratio'!F$10</f>
        <v>0.001683449314</v>
      </c>
      <c r="G42" s="21">
        <f>D42-'sharpe ratio'!F$10</f>
        <v>0.02846088023</v>
      </c>
    </row>
    <row r="43">
      <c r="A43" s="54">
        <v>45768.0</v>
      </c>
      <c r="B43" s="21">
        <f>VLOOKUP(A43,dataset_descriptions!A:C,2,0)</f>
        <v>-0.002228500184</v>
      </c>
      <c r="C43" s="21">
        <f>VLOOKUP(A43,dataset_descriptions!A:C,3,0)</f>
        <v>0.03369839933</v>
      </c>
      <c r="D43" s="21">
        <f>VLOOKUP(A43,'S&amp;P 500'!A:H,8,0)</f>
        <v>0.04590644935</v>
      </c>
      <c r="E43" s="21">
        <f>B43-'sharpe ratio'!$F$10</f>
        <v>-0.002990038646</v>
      </c>
      <c r="F43" s="21">
        <f>C43-'sharpe ratio'!F$10</f>
        <v>0.03293686086</v>
      </c>
      <c r="G43" s="21">
        <f>D43-'sharpe ratio'!F$10</f>
        <v>0.04514491089</v>
      </c>
    </row>
    <row r="44">
      <c r="A44" s="54">
        <v>45761.0</v>
      </c>
      <c r="B44" s="21">
        <f>VLOOKUP(A44,dataset_descriptions!A:C,2,0)</f>
        <v>-0.002223545014</v>
      </c>
      <c r="C44" s="21">
        <f>VLOOKUP(A44,dataset_descriptions!A:C,3,0)</f>
        <v>0.02415875755</v>
      </c>
      <c r="D44" s="21">
        <f>VLOOKUP(A44,'S&amp;P 500'!A:H,8,0)</f>
        <v>-0.01503907998</v>
      </c>
      <c r="E44" s="21">
        <f>B44-'sharpe ratio'!$F$10</f>
        <v>-0.002985083475</v>
      </c>
      <c r="F44" s="21">
        <f>C44-'sharpe ratio'!F$10</f>
        <v>0.02339721909</v>
      </c>
      <c r="G44" s="21">
        <f>D44-'sharpe ratio'!F$10</f>
        <v>-0.01580061844</v>
      </c>
    </row>
    <row r="45">
      <c r="A45" s="54">
        <v>45754.0</v>
      </c>
      <c r="B45" s="21">
        <f>VLOOKUP(A45,dataset_descriptions!A:C,2,0)</f>
        <v>-0.002218611831</v>
      </c>
      <c r="C45" s="21">
        <f>VLOOKUP(A45,dataset_descriptions!A:C,3,0)</f>
        <v>0.06820276498</v>
      </c>
      <c r="D45" s="21">
        <f>VLOOKUP(A45,'S&amp;P 500'!A:H,8,0)</f>
        <v>0.05701132028</v>
      </c>
      <c r="E45" s="21">
        <f>B45-'sharpe ratio'!$F$10</f>
        <v>-0.002980150292</v>
      </c>
      <c r="F45" s="21">
        <f>C45-'sharpe ratio'!F$10</f>
        <v>0.06744122652</v>
      </c>
      <c r="G45" s="21">
        <f>D45-'sharpe ratio'!F$10</f>
        <v>0.05624978182</v>
      </c>
    </row>
    <row r="46">
      <c r="A46" s="54">
        <v>45747.0</v>
      </c>
      <c r="B46" s="21">
        <f>VLOOKUP(A46,dataset_descriptions!A:C,2,0)</f>
        <v>-0.002213700489</v>
      </c>
      <c r="C46" s="21">
        <f>VLOOKUP(A46,dataset_descriptions!A:C,3,0)</f>
        <v>-0.2086068563</v>
      </c>
      <c r="D46" s="21">
        <f>VLOOKUP(A46,'S&amp;P 500'!A:H,8,0)</f>
        <v>-0.09081982605</v>
      </c>
      <c r="E46" s="21">
        <f>B46-'sharpe ratio'!$F$10</f>
        <v>-0.00297523895</v>
      </c>
      <c r="F46" s="21">
        <f>C46-'sharpe ratio'!F$10</f>
        <v>-0.2093683948</v>
      </c>
      <c r="G46" s="21">
        <f>D46-'sharpe ratio'!F$10</f>
        <v>-0.09158136451</v>
      </c>
    </row>
    <row r="47">
      <c r="A47" s="54">
        <v>45740.0</v>
      </c>
      <c r="B47" s="21">
        <f>VLOOKUP(A47,dataset_descriptions!A:C,2,0)</f>
        <v>-0.002208810843</v>
      </c>
      <c r="C47" s="21">
        <f>VLOOKUP(A47,dataset_descriptions!A:C,3,0)</f>
        <v>-0.06671204901</v>
      </c>
      <c r="D47" s="21">
        <f>VLOOKUP(A47,'S&amp;P 500'!A:H,8,0)</f>
        <v>-0.01528347296</v>
      </c>
      <c r="E47" s="21">
        <f>B47-'sharpe ratio'!$F$10</f>
        <v>-0.002970349304</v>
      </c>
      <c r="F47" s="21">
        <f>C47-'sharpe ratio'!F$10</f>
        <v>-0.06747358747</v>
      </c>
      <c r="G47" s="21">
        <f>D47-'sharpe ratio'!F$10</f>
        <v>-0.01604501142</v>
      </c>
    </row>
    <row r="48">
      <c r="A48" s="54">
        <v>45733.0</v>
      </c>
      <c r="B48" s="21">
        <f>VLOOKUP(A48,dataset_descriptions!A:C,2,0)</f>
        <v>-0.00220394275</v>
      </c>
      <c r="C48" s="21">
        <f>VLOOKUP(A48,dataset_descriptions!A:C,3,0)</f>
        <v>0.09626865672</v>
      </c>
      <c r="D48" s="21">
        <f>VLOOKUP(A48,'S&amp;P 500'!A:H,8,0)</f>
        <v>0.005075421976</v>
      </c>
      <c r="E48" s="21">
        <f>B48-'sharpe ratio'!$F$10</f>
        <v>-0.002965481212</v>
      </c>
      <c r="F48" s="21">
        <f>C48-'sharpe ratio'!F$10</f>
        <v>0.09550711825</v>
      </c>
      <c r="G48" s="21">
        <f>D48-'sharpe ratio'!F$10</f>
        <v>0.004313883515</v>
      </c>
    </row>
    <row r="49">
      <c r="A49" s="54">
        <v>45726.0</v>
      </c>
      <c r="B49" s="21">
        <f>VLOOKUP(A49,dataset_descriptions!A:C,2,0)</f>
        <v>-0.002199096068</v>
      </c>
      <c r="C49" s="21">
        <f>VLOOKUP(A49,dataset_descriptions!A:C,3,0)</f>
        <v>0.04933437745</v>
      </c>
      <c r="D49" s="21">
        <f>VLOOKUP(A49,'S&amp;P 500'!A:H,8,0)</f>
        <v>-0.02274791168</v>
      </c>
      <c r="E49" s="21">
        <f>B49-'sharpe ratio'!$F$10</f>
        <v>-0.00296063453</v>
      </c>
      <c r="F49" s="21">
        <f>C49-'sharpe ratio'!F$10</f>
        <v>0.04857283899</v>
      </c>
      <c r="G49" s="21">
        <f>D49-'sharpe ratio'!F$10</f>
        <v>-0.02350945015</v>
      </c>
    </row>
    <row r="50">
      <c r="A50" s="54">
        <v>45719.0</v>
      </c>
      <c r="B50" s="21">
        <f>VLOOKUP(A50,dataset_descriptions!A:C,2,0)</f>
        <v>-0.002194270656</v>
      </c>
      <c r="C50" s="21">
        <f>VLOOKUP(A50,dataset_descriptions!A:C,3,0)</f>
        <v>0.02241793435</v>
      </c>
      <c r="D50" s="21">
        <f>VLOOKUP(A50,'S&amp;P 500'!A:H,8,0)</f>
        <v>-0.03095138131</v>
      </c>
      <c r="E50" s="21">
        <f>B50-'sharpe ratio'!$F$10</f>
        <v>-0.002955809118</v>
      </c>
      <c r="F50" s="21">
        <f>C50-'sharpe ratio'!F$10</f>
        <v>0.02165639589</v>
      </c>
      <c r="G50" s="21">
        <f>D50-'sharpe ratio'!F$10</f>
        <v>-0.03171291977</v>
      </c>
    </row>
    <row r="51">
      <c r="A51" s="54">
        <v>45712.0</v>
      </c>
      <c r="B51" s="21">
        <f>VLOOKUP(A51,dataset_descriptions!A:C,2,0)</f>
        <v>-0.002189466375</v>
      </c>
      <c r="C51" s="21">
        <f>VLOOKUP(A51,dataset_descriptions!A:C,3,0)</f>
        <v>0.007258064516</v>
      </c>
      <c r="D51" s="21">
        <f>VLOOKUP(A51,'S&amp;P 500'!A:H,8,0)</f>
        <v>-0.009750329695</v>
      </c>
      <c r="E51" s="21">
        <f>B51-'sharpe ratio'!$F$10</f>
        <v>-0.002951004836</v>
      </c>
      <c r="F51" s="21">
        <f>C51-'sharpe ratio'!F$10</f>
        <v>0.006496526055</v>
      </c>
      <c r="G51" s="21">
        <f>D51-'sharpe ratio'!F$10</f>
        <v>-0.01051186816</v>
      </c>
    </row>
    <row r="52">
      <c r="A52" s="54">
        <v>45705.0</v>
      </c>
      <c r="B52" s="21">
        <f>VLOOKUP(A52,dataset_descriptions!A:C,2,0)</f>
        <v>-0.002184683084</v>
      </c>
      <c r="C52" s="21">
        <f>VLOOKUP(A52,dataset_descriptions!A:C,3,0)</f>
        <v>-0.0127388535</v>
      </c>
      <c r="D52" s="21">
        <f>VLOOKUP(A52,'S&amp;P 500'!A:H,8,0)</f>
        <v>-0.0165995326</v>
      </c>
      <c r="E52" s="21">
        <f>B52-'sharpe ratio'!$F$10</f>
        <v>-0.002946221546</v>
      </c>
      <c r="F52" s="21">
        <f>C52-'sharpe ratio'!F$10</f>
        <v>-0.01350039196</v>
      </c>
      <c r="G52" s="21">
        <f>D52-'sharpe ratio'!F$10</f>
        <v>-0.01736107106</v>
      </c>
    </row>
    <row r="53">
      <c r="A53" s="54">
        <v>45698.0</v>
      </c>
      <c r="B53" s="21">
        <f>VLOOKUP(A53,dataset_descriptions!A:C,2,0)</f>
        <v>0.1277387179</v>
      </c>
      <c r="C53" s="21">
        <f>VLOOKUP(A53,dataset_descriptions!A:C,3,0)</f>
        <v>0.02113821138</v>
      </c>
      <c r="D53" s="21">
        <f>VLOOKUP(A53,'S&amp;P 500'!A:H,8,0)</f>
        <v>0.01470961618</v>
      </c>
      <c r="E53" s="21">
        <f>B53-'sharpe ratio'!$F$10</f>
        <v>0.1269771794</v>
      </c>
      <c r="F53" s="21">
        <f>C53-'sharpe ratio'!F$10</f>
        <v>0.02037667292</v>
      </c>
      <c r="G53" s="21">
        <f>D53-'sharpe ratio'!F$10</f>
        <v>0.01394807772</v>
      </c>
    </row>
    <row r="54">
      <c r="A54" s="54"/>
      <c r="D54" s="21"/>
    </row>
    <row r="55">
      <c r="A55" s="58"/>
      <c r="D55" s="21"/>
    </row>
    <row r="56">
      <c r="A56" s="58"/>
      <c r="D56" s="21"/>
    </row>
    <row r="57">
      <c r="A57" s="58"/>
      <c r="D57" s="21"/>
    </row>
    <row r="58">
      <c r="A58" s="58"/>
      <c r="D58" s="21"/>
    </row>
    <row r="59">
      <c r="A59" s="58"/>
      <c r="D59" s="21"/>
    </row>
    <row r="60">
      <c r="A60" s="58"/>
      <c r="D60" s="21"/>
    </row>
    <row r="61">
      <c r="A61" s="58"/>
      <c r="D61" s="21"/>
    </row>
    <row r="62">
      <c r="A62" s="58"/>
      <c r="D62" s="21"/>
    </row>
    <row r="63">
      <c r="A63" s="58"/>
      <c r="D63" s="21"/>
    </row>
    <row r="64">
      <c r="A64" s="58"/>
      <c r="D64" s="21"/>
    </row>
    <row r="65">
      <c r="A65" s="58"/>
      <c r="D65" s="21"/>
    </row>
    <row r="66">
      <c r="A66" s="58"/>
      <c r="D66" s="21"/>
    </row>
    <row r="67">
      <c r="A67" s="58"/>
      <c r="D67" s="21"/>
    </row>
    <row r="68">
      <c r="A68" s="58"/>
      <c r="D68" s="21"/>
    </row>
    <row r="69">
      <c r="A69" s="58"/>
      <c r="D69" s="21"/>
    </row>
    <row r="70">
      <c r="A70" s="58"/>
      <c r="D70" s="21"/>
    </row>
    <row r="71">
      <c r="A71" s="58"/>
      <c r="D71" s="21"/>
    </row>
    <row r="72">
      <c r="A72" s="58"/>
      <c r="D72" s="21"/>
    </row>
    <row r="73">
      <c r="A73" s="58"/>
      <c r="D73" s="21"/>
    </row>
    <row r="74">
      <c r="A74" s="58"/>
      <c r="D74" s="21"/>
    </row>
    <row r="75">
      <c r="A75" s="58"/>
      <c r="D75" s="21"/>
    </row>
    <row r="76">
      <c r="A76" s="58"/>
      <c r="D76" s="21"/>
    </row>
    <row r="77">
      <c r="A77" s="58"/>
      <c r="D77" s="21"/>
    </row>
    <row r="78">
      <c r="A78" s="58"/>
      <c r="D78" s="21"/>
    </row>
    <row r="79">
      <c r="A79" s="58"/>
      <c r="D79" s="21"/>
    </row>
    <row r="80">
      <c r="A80" s="58"/>
      <c r="D80" s="21"/>
    </row>
    <row r="81">
      <c r="A81" s="58"/>
      <c r="D81" s="21"/>
    </row>
    <row r="82">
      <c r="A82" s="58"/>
      <c r="D82" s="21"/>
    </row>
    <row r="83">
      <c r="A83" s="58"/>
      <c r="D83" s="21"/>
    </row>
    <row r="84">
      <c r="A84" s="58"/>
      <c r="D84" s="21"/>
    </row>
    <row r="85">
      <c r="A85" s="58"/>
      <c r="D85" s="21"/>
    </row>
    <row r="86">
      <c r="A86" s="58"/>
      <c r="D86" s="21"/>
    </row>
    <row r="87">
      <c r="A87" s="58"/>
      <c r="D87" s="21"/>
    </row>
    <row r="88">
      <c r="A88" s="58"/>
      <c r="D88" s="21"/>
    </row>
    <row r="89">
      <c r="A89" s="58"/>
      <c r="D89" s="21"/>
    </row>
    <row r="90">
      <c r="A90" s="58"/>
      <c r="D90" s="21"/>
    </row>
    <row r="91">
      <c r="A91" s="58"/>
      <c r="D91" s="21"/>
    </row>
    <row r="92">
      <c r="A92" s="58"/>
      <c r="D92" s="21"/>
    </row>
    <row r="93">
      <c r="A93" s="58"/>
      <c r="D93" s="21"/>
    </row>
    <row r="94">
      <c r="A94" s="58"/>
      <c r="D94" s="21"/>
    </row>
    <row r="95">
      <c r="A95" s="58"/>
      <c r="D95" s="21"/>
    </row>
    <row r="96">
      <c r="A96" s="58"/>
      <c r="D96" s="21"/>
    </row>
    <row r="97">
      <c r="A97" s="58"/>
      <c r="D97" s="21"/>
    </row>
    <row r="98">
      <c r="A98" s="58"/>
      <c r="D98" s="21"/>
    </row>
    <row r="99">
      <c r="A99" s="58"/>
      <c r="D99" s="21"/>
    </row>
    <row r="100">
      <c r="A100" s="58"/>
      <c r="D100" s="21"/>
    </row>
    <row r="101">
      <c r="A101" s="58"/>
      <c r="D101" s="21"/>
    </row>
    <row r="102">
      <c r="A102" s="58"/>
      <c r="D102" s="21"/>
    </row>
    <row r="103">
      <c r="A103" s="58"/>
      <c r="D103" s="21"/>
    </row>
    <row r="104">
      <c r="A104" s="58"/>
      <c r="D104" s="21"/>
    </row>
    <row r="105">
      <c r="A105" s="58"/>
      <c r="D105" s="21"/>
    </row>
    <row r="106">
      <c r="A106" s="58"/>
      <c r="D106" s="21"/>
    </row>
    <row r="107">
      <c r="A107" s="58"/>
      <c r="D107" s="21"/>
    </row>
    <row r="108">
      <c r="A108" s="58"/>
      <c r="D108" s="21"/>
    </row>
    <row r="109">
      <c r="A109" s="58"/>
      <c r="D109" s="21"/>
    </row>
    <row r="110">
      <c r="A110" s="58"/>
      <c r="D110" s="21"/>
    </row>
    <row r="111">
      <c r="A111" s="58"/>
      <c r="D111" s="21"/>
    </row>
    <row r="112">
      <c r="A112" s="58"/>
      <c r="D112" s="21"/>
    </row>
    <row r="113">
      <c r="A113" s="58"/>
      <c r="D113" s="21"/>
    </row>
    <row r="114">
      <c r="A114" s="58"/>
      <c r="D114" s="21"/>
    </row>
    <row r="115">
      <c r="A115" s="58"/>
      <c r="D115" s="21"/>
    </row>
    <row r="116">
      <c r="A116" s="58"/>
      <c r="D116" s="21"/>
    </row>
    <row r="117">
      <c r="A117" s="58"/>
      <c r="D117" s="21"/>
    </row>
    <row r="118">
      <c r="A118" s="58"/>
      <c r="D118" s="21"/>
    </row>
    <row r="119">
      <c r="A119" s="58"/>
      <c r="D119" s="21"/>
    </row>
    <row r="120">
      <c r="A120" s="58"/>
      <c r="D120" s="21"/>
    </row>
    <row r="121">
      <c r="A121" s="58"/>
      <c r="D121" s="21"/>
    </row>
    <row r="122">
      <c r="A122" s="58"/>
      <c r="D122" s="21"/>
    </row>
    <row r="123">
      <c r="A123" s="58"/>
      <c r="D123" s="21"/>
    </row>
    <row r="124">
      <c r="A124" s="58"/>
      <c r="D124" s="21"/>
    </row>
    <row r="125">
      <c r="A125" s="58"/>
      <c r="D125" s="21"/>
    </row>
    <row r="126">
      <c r="A126" s="58"/>
      <c r="D126" s="21"/>
    </row>
    <row r="127">
      <c r="A127" s="58"/>
      <c r="D127" s="21"/>
    </row>
    <row r="128">
      <c r="A128" s="58"/>
      <c r="D128" s="21"/>
    </row>
    <row r="129">
      <c r="A129" s="58"/>
      <c r="D129" s="21"/>
    </row>
    <row r="130">
      <c r="A130" s="58"/>
      <c r="D130" s="21"/>
    </row>
    <row r="131">
      <c r="A131" s="58"/>
      <c r="D131" s="21"/>
    </row>
    <row r="132">
      <c r="A132" s="58"/>
      <c r="D132" s="21"/>
    </row>
    <row r="133">
      <c r="A133" s="58"/>
      <c r="D133" s="21"/>
    </row>
    <row r="134">
      <c r="A134" s="58"/>
      <c r="D134" s="21"/>
    </row>
    <row r="135">
      <c r="A135" s="58"/>
      <c r="D135" s="21"/>
    </row>
    <row r="136">
      <c r="A136" s="58"/>
      <c r="D136" s="21"/>
    </row>
    <row r="137">
      <c r="A137" s="58"/>
      <c r="D137" s="21"/>
    </row>
    <row r="138">
      <c r="A138" s="58"/>
      <c r="D138" s="21"/>
    </row>
    <row r="139">
      <c r="A139" s="58"/>
      <c r="D139" s="21"/>
    </row>
    <row r="140">
      <c r="A140" s="58"/>
      <c r="D140" s="21"/>
    </row>
    <row r="141">
      <c r="A141" s="58"/>
      <c r="D141" s="21"/>
    </row>
    <row r="142">
      <c r="A142" s="58"/>
      <c r="D142" s="21"/>
    </row>
    <row r="143">
      <c r="A143" s="58"/>
      <c r="D143" s="21"/>
    </row>
    <row r="144">
      <c r="A144" s="58"/>
      <c r="D144" s="21"/>
    </row>
    <row r="145">
      <c r="A145" s="58"/>
      <c r="D145" s="21"/>
    </row>
    <row r="146">
      <c r="A146" s="58"/>
      <c r="D146" s="21"/>
    </row>
    <row r="147">
      <c r="A147" s="58"/>
      <c r="D147" s="21"/>
    </row>
    <row r="148">
      <c r="A148" s="58"/>
      <c r="D148" s="21"/>
    </row>
    <row r="149">
      <c r="A149" s="58"/>
      <c r="D149" s="21"/>
    </row>
    <row r="150">
      <c r="A150" s="58"/>
      <c r="D150" s="21"/>
    </row>
    <row r="151">
      <c r="A151" s="58"/>
      <c r="D151" s="21"/>
    </row>
    <row r="152">
      <c r="A152" s="58"/>
      <c r="D152" s="21"/>
    </row>
    <row r="153">
      <c r="A153" s="58"/>
      <c r="D153" s="21"/>
    </row>
    <row r="154">
      <c r="A154" s="58"/>
      <c r="D154" s="21"/>
    </row>
    <row r="155">
      <c r="A155" s="58"/>
      <c r="D155" s="21"/>
    </row>
    <row r="156">
      <c r="A156" s="58"/>
      <c r="D156" s="21"/>
    </row>
    <row r="157">
      <c r="A157" s="58"/>
      <c r="D157" s="21"/>
    </row>
    <row r="158">
      <c r="A158" s="58"/>
      <c r="D158" s="21"/>
    </row>
    <row r="159">
      <c r="A159" s="58"/>
      <c r="D159" s="21"/>
    </row>
    <row r="160">
      <c r="A160" s="58"/>
      <c r="D160" s="21"/>
    </row>
    <row r="161">
      <c r="A161" s="58"/>
      <c r="D161" s="21"/>
    </row>
    <row r="162">
      <c r="A162" s="58"/>
      <c r="D162" s="21"/>
    </row>
    <row r="163">
      <c r="A163" s="58"/>
      <c r="D163" s="21"/>
    </row>
    <row r="164">
      <c r="A164" s="58"/>
      <c r="D164" s="21"/>
    </row>
    <row r="165">
      <c r="A165" s="58"/>
      <c r="D165" s="21"/>
    </row>
    <row r="166">
      <c r="A166" s="58"/>
      <c r="D166" s="21"/>
    </row>
    <row r="167">
      <c r="A167" s="58"/>
      <c r="D167" s="21"/>
    </row>
    <row r="168">
      <c r="A168" s="58"/>
      <c r="D168" s="21"/>
    </row>
    <row r="169">
      <c r="A169" s="58"/>
      <c r="D169" s="21"/>
    </row>
    <row r="170">
      <c r="A170" s="58"/>
      <c r="D170" s="21"/>
    </row>
    <row r="171">
      <c r="A171" s="58"/>
      <c r="D171" s="21"/>
    </row>
    <row r="172">
      <c r="A172" s="58"/>
      <c r="D172" s="21"/>
    </row>
    <row r="173">
      <c r="A173" s="58"/>
      <c r="D173" s="21"/>
    </row>
    <row r="174">
      <c r="A174" s="58"/>
      <c r="D174" s="21"/>
    </row>
    <row r="175">
      <c r="A175" s="58"/>
      <c r="D175" s="21"/>
    </row>
    <row r="176">
      <c r="A176" s="58"/>
      <c r="D176" s="21"/>
    </row>
    <row r="177">
      <c r="A177" s="58"/>
      <c r="D177" s="21"/>
    </row>
    <row r="178">
      <c r="A178" s="58"/>
      <c r="D178" s="21"/>
    </row>
    <row r="179">
      <c r="A179" s="58"/>
      <c r="D179" s="21"/>
    </row>
    <row r="180">
      <c r="A180" s="58"/>
      <c r="D180" s="21"/>
    </row>
    <row r="181">
      <c r="A181" s="58"/>
      <c r="D181" s="21"/>
    </row>
    <row r="182">
      <c r="A182" s="58"/>
      <c r="D182" s="21"/>
    </row>
    <row r="183">
      <c r="A183" s="58"/>
      <c r="D183" s="21"/>
    </row>
    <row r="184">
      <c r="A184" s="58"/>
      <c r="D184" s="21"/>
    </row>
    <row r="185">
      <c r="A185" s="58"/>
      <c r="D185" s="21"/>
    </row>
    <row r="186">
      <c r="A186" s="58"/>
      <c r="D186" s="21"/>
    </row>
    <row r="187">
      <c r="A187" s="58"/>
      <c r="D187" s="21"/>
    </row>
    <row r="188">
      <c r="A188" s="58"/>
      <c r="D188" s="21"/>
    </row>
    <row r="189">
      <c r="A189" s="58"/>
      <c r="D189" s="21"/>
    </row>
    <row r="190">
      <c r="A190" s="58"/>
      <c r="D190" s="21"/>
    </row>
    <row r="191">
      <c r="A191" s="58"/>
      <c r="D191" s="21"/>
    </row>
    <row r="192">
      <c r="A192" s="58"/>
      <c r="D192" s="21"/>
    </row>
    <row r="193">
      <c r="A193" s="58"/>
      <c r="D193" s="21"/>
    </row>
    <row r="194">
      <c r="A194" s="58"/>
      <c r="D194" s="21"/>
    </row>
    <row r="195">
      <c r="A195" s="58"/>
      <c r="D195" s="21"/>
    </row>
    <row r="196">
      <c r="A196" s="58"/>
      <c r="D196" s="21"/>
    </row>
    <row r="197">
      <c r="A197" s="58"/>
      <c r="D197" s="21"/>
    </row>
    <row r="198">
      <c r="A198" s="58"/>
      <c r="D198" s="21"/>
    </row>
    <row r="199">
      <c r="A199" s="58"/>
      <c r="D199" s="21"/>
    </row>
    <row r="200">
      <c r="A200" s="58"/>
      <c r="D200" s="21"/>
    </row>
    <row r="201">
      <c r="A201" s="58"/>
      <c r="D201" s="21"/>
    </row>
    <row r="202">
      <c r="A202" s="58"/>
      <c r="D202" s="21"/>
    </row>
    <row r="203">
      <c r="A203" s="58"/>
      <c r="D203" s="21"/>
    </row>
    <row r="204">
      <c r="A204" s="58"/>
      <c r="D204" s="21"/>
    </row>
    <row r="205">
      <c r="A205" s="58"/>
      <c r="D205" s="21"/>
    </row>
    <row r="206">
      <c r="A206" s="58"/>
      <c r="D206" s="21"/>
    </row>
    <row r="207">
      <c r="A207" s="58"/>
      <c r="D207" s="21"/>
    </row>
    <row r="208">
      <c r="A208" s="58"/>
      <c r="D208" s="21"/>
    </row>
    <row r="209">
      <c r="A209" s="58"/>
      <c r="D209" s="21"/>
    </row>
    <row r="210">
      <c r="A210" s="58"/>
      <c r="D210" s="21"/>
    </row>
    <row r="211">
      <c r="A211" s="58"/>
      <c r="D211" s="21"/>
    </row>
    <row r="212">
      <c r="A212" s="58"/>
      <c r="D212" s="21"/>
    </row>
    <row r="213">
      <c r="A213" s="58"/>
      <c r="D213" s="21"/>
    </row>
    <row r="214">
      <c r="A214" s="58"/>
      <c r="D214" s="21"/>
    </row>
    <row r="215">
      <c r="A215" s="58"/>
      <c r="D215" s="21"/>
    </row>
    <row r="216">
      <c r="A216" s="58"/>
      <c r="D216" s="21"/>
    </row>
    <row r="217">
      <c r="A217" s="58"/>
      <c r="D217" s="21"/>
    </row>
    <row r="218">
      <c r="A218" s="58"/>
      <c r="D218" s="21"/>
    </row>
    <row r="219">
      <c r="A219" s="58"/>
      <c r="D219" s="21"/>
    </row>
    <row r="220">
      <c r="A220" s="58"/>
      <c r="D220" s="21"/>
    </row>
    <row r="221">
      <c r="A221" s="58"/>
      <c r="D221" s="21"/>
    </row>
    <row r="222">
      <c r="A222" s="58"/>
      <c r="D222" s="21"/>
    </row>
    <row r="223">
      <c r="A223" s="58"/>
      <c r="D223" s="21"/>
    </row>
    <row r="224">
      <c r="A224" s="58"/>
      <c r="D224" s="21"/>
    </row>
    <row r="225">
      <c r="A225" s="58"/>
      <c r="D225" s="21"/>
    </row>
    <row r="226">
      <c r="A226" s="58"/>
      <c r="D226" s="21"/>
    </row>
    <row r="227">
      <c r="A227" s="58"/>
      <c r="D227" s="21"/>
    </row>
    <row r="228">
      <c r="A228" s="58"/>
      <c r="D228" s="21"/>
    </row>
    <row r="229">
      <c r="A229" s="58"/>
      <c r="D229" s="21"/>
    </row>
    <row r="230">
      <c r="A230" s="58"/>
      <c r="D230" s="21"/>
    </row>
    <row r="231">
      <c r="A231" s="58"/>
      <c r="D231" s="21"/>
    </row>
    <row r="232">
      <c r="A232" s="58"/>
      <c r="D232" s="21"/>
    </row>
    <row r="233">
      <c r="A233" s="58"/>
      <c r="D233" s="21"/>
    </row>
    <row r="234">
      <c r="A234" s="58"/>
      <c r="D234" s="21"/>
    </row>
    <row r="235">
      <c r="A235" s="58"/>
      <c r="D235" s="21"/>
    </row>
    <row r="236">
      <c r="A236" s="58"/>
      <c r="D236" s="21"/>
    </row>
    <row r="237">
      <c r="A237" s="58"/>
      <c r="D237" s="21"/>
    </row>
    <row r="238">
      <c r="A238" s="58"/>
      <c r="D238" s="21"/>
    </row>
    <row r="239">
      <c r="A239" s="58"/>
      <c r="D239" s="21"/>
    </row>
    <row r="240">
      <c r="A240" s="58"/>
      <c r="D240" s="21"/>
    </row>
    <row r="241">
      <c r="A241" s="58"/>
      <c r="D241" s="21"/>
    </row>
    <row r="242">
      <c r="A242" s="58"/>
      <c r="D242" s="21"/>
    </row>
    <row r="243">
      <c r="A243" s="58"/>
      <c r="D243" s="21"/>
    </row>
    <row r="244">
      <c r="A244" s="58"/>
      <c r="D244" s="21"/>
    </row>
    <row r="245">
      <c r="A245" s="58"/>
      <c r="D245" s="21"/>
    </row>
    <row r="246">
      <c r="A246" s="58"/>
      <c r="D246" s="21"/>
    </row>
    <row r="247">
      <c r="A247" s="58"/>
      <c r="D247" s="21"/>
    </row>
    <row r="248">
      <c r="A248" s="58"/>
      <c r="D248" s="21"/>
    </row>
    <row r="249">
      <c r="A249" s="58"/>
      <c r="D249" s="21"/>
    </row>
    <row r="250">
      <c r="A250" s="58"/>
      <c r="D250" s="21"/>
    </row>
    <row r="251">
      <c r="A251" s="58"/>
      <c r="D251" s="21"/>
    </row>
    <row r="252">
      <c r="A252" s="58"/>
      <c r="D252" s="21"/>
    </row>
    <row r="253">
      <c r="A253" s="58"/>
      <c r="D253" s="21"/>
    </row>
    <row r="254">
      <c r="A254" s="58"/>
      <c r="D254" s="21"/>
    </row>
    <row r="255">
      <c r="A255" s="58"/>
      <c r="D255" s="21"/>
    </row>
    <row r="256">
      <c r="A256" s="58"/>
      <c r="D256" s="21"/>
    </row>
    <row r="257">
      <c r="A257" s="58"/>
      <c r="D257" s="21"/>
    </row>
    <row r="258">
      <c r="A258" s="58"/>
      <c r="D258" s="21"/>
    </row>
    <row r="259">
      <c r="A259" s="58"/>
      <c r="D259" s="21"/>
    </row>
    <row r="260">
      <c r="A260" s="58"/>
      <c r="D260" s="21"/>
    </row>
    <row r="261">
      <c r="A261" s="58"/>
      <c r="D261" s="21"/>
    </row>
    <row r="262">
      <c r="A262" s="58"/>
      <c r="D262" s="21"/>
    </row>
    <row r="263">
      <c r="A263" s="58"/>
      <c r="D263" s="21"/>
    </row>
    <row r="264">
      <c r="A264" s="58"/>
      <c r="D264" s="21"/>
    </row>
    <row r="265">
      <c r="A265" s="58"/>
      <c r="D265" s="21"/>
    </row>
    <row r="266">
      <c r="A266" s="58"/>
      <c r="D266" s="21"/>
    </row>
    <row r="267">
      <c r="A267" s="58"/>
      <c r="D267" s="21"/>
    </row>
    <row r="268">
      <c r="A268" s="58"/>
      <c r="D268" s="21"/>
    </row>
    <row r="269">
      <c r="A269" s="58"/>
      <c r="D269" s="21"/>
    </row>
    <row r="270">
      <c r="A270" s="58"/>
      <c r="D270" s="21"/>
    </row>
    <row r="271">
      <c r="A271" s="58"/>
      <c r="D271" s="21"/>
    </row>
    <row r="272">
      <c r="A272" s="58"/>
      <c r="D272" s="21"/>
    </row>
    <row r="273">
      <c r="A273" s="58"/>
      <c r="D273" s="21"/>
    </row>
    <row r="274">
      <c r="A274" s="58"/>
      <c r="D274" s="21"/>
    </row>
    <row r="275">
      <c r="A275" s="58"/>
      <c r="D275" s="21"/>
    </row>
    <row r="276">
      <c r="A276" s="58"/>
      <c r="D276" s="21"/>
    </row>
    <row r="277">
      <c r="A277" s="58"/>
      <c r="D277" s="21"/>
    </row>
    <row r="278">
      <c r="A278" s="58"/>
      <c r="D278" s="21"/>
    </row>
    <row r="279">
      <c r="A279" s="58"/>
      <c r="D279" s="21"/>
    </row>
    <row r="280">
      <c r="A280" s="58"/>
      <c r="D280" s="21"/>
    </row>
    <row r="281">
      <c r="A281" s="58"/>
      <c r="D281" s="21"/>
    </row>
    <row r="282">
      <c r="A282" s="58"/>
      <c r="D282" s="21"/>
    </row>
    <row r="283">
      <c r="A283" s="58"/>
      <c r="D283" s="21"/>
    </row>
    <row r="284">
      <c r="A284" s="58"/>
      <c r="D284" s="21"/>
    </row>
    <row r="285">
      <c r="A285" s="58"/>
      <c r="D285" s="21"/>
    </row>
    <row r="286">
      <c r="A286" s="58"/>
      <c r="D286" s="21"/>
    </row>
    <row r="287">
      <c r="A287" s="58"/>
      <c r="D287" s="21"/>
    </row>
    <row r="288">
      <c r="A288" s="58"/>
      <c r="D288" s="21"/>
    </row>
    <row r="289">
      <c r="A289" s="58"/>
      <c r="D289" s="21"/>
    </row>
    <row r="290">
      <c r="A290" s="58"/>
      <c r="D290" s="21"/>
    </row>
    <row r="291">
      <c r="A291" s="58"/>
      <c r="D291" s="21"/>
    </row>
    <row r="292">
      <c r="A292" s="58"/>
      <c r="D292" s="21"/>
    </row>
    <row r="293">
      <c r="A293" s="58"/>
      <c r="D293" s="21"/>
    </row>
    <row r="294">
      <c r="A294" s="58"/>
      <c r="D294" s="21"/>
    </row>
    <row r="295">
      <c r="A295" s="58"/>
      <c r="D295" s="21"/>
    </row>
    <row r="296">
      <c r="A296" s="58"/>
      <c r="D296" s="21"/>
    </row>
    <row r="297">
      <c r="A297" s="58"/>
      <c r="D297" s="21"/>
    </row>
    <row r="298">
      <c r="A298" s="58"/>
      <c r="D298" s="21"/>
    </row>
    <row r="299">
      <c r="A299" s="58"/>
      <c r="D299" s="21"/>
    </row>
    <row r="300">
      <c r="A300" s="58"/>
      <c r="D300" s="21"/>
    </row>
    <row r="301">
      <c r="A301" s="58"/>
      <c r="D301" s="21"/>
    </row>
    <row r="302">
      <c r="A302" s="58"/>
      <c r="D302" s="21"/>
    </row>
    <row r="303">
      <c r="A303" s="58"/>
      <c r="D303" s="21"/>
    </row>
    <row r="304">
      <c r="A304" s="58"/>
      <c r="D304" s="21"/>
    </row>
    <row r="305">
      <c r="A305" s="58"/>
      <c r="D305" s="21"/>
    </row>
    <row r="306">
      <c r="A306" s="58"/>
      <c r="D306" s="21"/>
    </row>
    <row r="307">
      <c r="A307" s="58"/>
      <c r="D307" s="21"/>
    </row>
    <row r="308">
      <c r="A308" s="58"/>
      <c r="D308" s="21"/>
    </row>
    <row r="309">
      <c r="A309" s="58"/>
      <c r="D309" s="21"/>
    </row>
    <row r="310">
      <c r="A310" s="58"/>
      <c r="D310" s="21"/>
    </row>
    <row r="311">
      <c r="A311" s="58"/>
      <c r="D311" s="21"/>
    </row>
    <row r="312">
      <c r="A312" s="58"/>
      <c r="D312" s="21"/>
    </row>
    <row r="313">
      <c r="A313" s="58"/>
      <c r="D313" s="21"/>
    </row>
    <row r="314">
      <c r="A314" s="58"/>
      <c r="D314" s="21"/>
    </row>
    <row r="315">
      <c r="A315" s="58"/>
      <c r="D315" s="21"/>
    </row>
    <row r="316">
      <c r="A316" s="58"/>
      <c r="D316" s="21"/>
    </row>
    <row r="317">
      <c r="A317" s="58"/>
      <c r="D317" s="21"/>
    </row>
    <row r="318">
      <c r="A318" s="58"/>
      <c r="D318" s="21"/>
    </row>
    <row r="319">
      <c r="A319" s="58"/>
      <c r="D319" s="21"/>
    </row>
    <row r="320">
      <c r="A320" s="58"/>
      <c r="D320" s="21"/>
    </row>
    <row r="321">
      <c r="A321" s="58"/>
      <c r="D321" s="21"/>
    </row>
    <row r="322">
      <c r="A322" s="58"/>
      <c r="D322" s="21"/>
    </row>
    <row r="323">
      <c r="A323" s="58"/>
      <c r="D323" s="21"/>
    </row>
    <row r="324">
      <c r="A324" s="58"/>
      <c r="D324" s="21"/>
    </row>
    <row r="325">
      <c r="A325" s="58"/>
      <c r="D325" s="21"/>
    </row>
    <row r="326">
      <c r="A326" s="58"/>
      <c r="D326" s="21"/>
    </row>
    <row r="327">
      <c r="A327" s="58"/>
      <c r="D327" s="21"/>
    </row>
    <row r="328">
      <c r="A328" s="58"/>
      <c r="D328" s="21"/>
    </row>
    <row r="329">
      <c r="A329" s="58"/>
      <c r="D329" s="21"/>
    </row>
    <row r="330">
      <c r="A330" s="58"/>
      <c r="D330" s="21"/>
    </row>
    <row r="331">
      <c r="A331" s="58"/>
      <c r="D331" s="21"/>
    </row>
    <row r="332">
      <c r="A332" s="58"/>
      <c r="D332" s="21"/>
    </row>
    <row r="333">
      <c r="A333" s="58"/>
      <c r="D333" s="21"/>
    </row>
    <row r="334">
      <c r="A334" s="58"/>
      <c r="D334" s="21"/>
    </row>
    <row r="335">
      <c r="A335" s="58"/>
      <c r="D335" s="21"/>
    </row>
    <row r="336">
      <c r="A336" s="58"/>
      <c r="D336" s="21"/>
    </row>
    <row r="337">
      <c r="A337" s="58"/>
      <c r="D337" s="21"/>
    </row>
    <row r="338">
      <c r="A338" s="58"/>
      <c r="D338" s="21"/>
    </row>
    <row r="339">
      <c r="A339" s="58"/>
      <c r="D339" s="21"/>
    </row>
    <row r="340">
      <c r="A340" s="58"/>
      <c r="D340" s="21"/>
    </row>
    <row r="341">
      <c r="A341" s="58"/>
      <c r="D341" s="21"/>
    </row>
    <row r="342">
      <c r="A342" s="58"/>
      <c r="D342" s="21"/>
    </row>
    <row r="343">
      <c r="A343" s="58"/>
      <c r="D343" s="21"/>
    </row>
    <row r="344">
      <c r="A344" s="58"/>
      <c r="D344" s="21"/>
    </row>
    <row r="345">
      <c r="A345" s="58"/>
      <c r="D345" s="21"/>
    </row>
    <row r="346">
      <c r="A346" s="58"/>
      <c r="D346" s="21"/>
    </row>
    <row r="347">
      <c r="A347" s="58"/>
      <c r="D347" s="21"/>
    </row>
    <row r="348">
      <c r="A348" s="58"/>
      <c r="D348" s="21"/>
    </row>
    <row r="349">
      <c r="A349" s="58"/>
      <c r="D349" s="21"/>
    </row>
    <row r="350">
      <c r="A350" s="58"/>
      <c r="D350" s="21"/>
    </row>
    <row r="351">
      <c r="A351" s="58"/>
      <c r="D351" s="21"/>
    </row>
    <row r="352">
      <c r="A352" s="58"/>
      <c r="D352" s="21"/>
    </row>
    <row r="353">
      <c r="A353" s="58"/>
      <c r="D353" s="21"/>
    </row>
    <row r="354">
      <c r="A354" s="58"/>
      <c r="D354" s="21"/>
    </row>
    <row r="355">
      <c r="A355" s="58"/>
      <c r="D355" s="21"/>
    </row>
    <row r="356">
      <c r="A356" s="58"/>
      <c r="D356" s="21"/>
    </row>
    <row r="357">
      <c r="A357" s="58"/>
      <c r="D357" s="21"/>
    </row>
    <row r="358">
      <c r="A358" s="58"/>
      <c r="D358" s="21"/>
    </row>
    <row r="359">
      <c r="A359" s="58"/>
      <c r="D359" s="21"/>
    </row>
    <row r="360">
      <c r="A360" s="58"/>
      <c r="D360" s="21"/>
    </row>
    <row r="361">
      <c r="A361" s="58"/>
      <c r="D361" s="21"/>
    </row>
    <row r="362">
      <c r="A362" s="58"/>
      <c r="D362" s="21"/>
    </row>
    <row r="363">
      <c r="A363" s="58"/>
      <c r="D363" s="21"/>
    </row>
    <row r="364">
      <c r="A364" s="58"/>
      <c r="D364" s="21"/>
    </row>
    <row r="365">
      <c r="A365" s="58"/>
      <c r="D365" s="21"/>
    </row>
    <row r="366">
      <c r="A366" s="58"/>
      <c r="D366" s="21"/>
    </row>
    <row r="367">
      <c r="A367" s="58"/>
      <c r="D367" s="21"/>
    </row>
    <row r="368">
      <c r="A368" s="58"/>
      <c r="D368" s="21"/>
    </row>
    <row r="369">
      <c r="A369" s="58"/>
      <c r="D369" s="21"/>
    </row>
    <row r="370">
      <c r="A370" s="58"/>
      <c r="D370" s="21"/>
    </row>
    <row r="371">
      <c r="A371" s="58"/>
      <c r="D371" s="21"/>
    </row>
    <row r="372">
      <c r="A372" s="58"/>
      <c r="D372" s="21"/>
    </row>
    <row r="373">
      <c r="A373" s="58"/>
      <c r="D373" s="21"/>
    </row>
    <row r="374">
      <c r="A374" s="58"/>
      <c r="D374" s="21"/>
    </row>
    <row r="375">
      <c r="A375" s="58"/>
      <c r="D375" s="21"/>
    </row>
    <row r="376">
      <c r="A376" s="58"/>
      <c r="D376" s="21"/>
    </row>
    <row r="377">
      <c r="A377" s="58"/>
      <c r="D377" s="21"/>
    </row>
    <row r="378">
      <c r="A378" s="58"/>
      <c r="D378" s="21"/>
    </row>
    <row r="379">
      <c r="A379" s="58"/>
      <c r="D379" s="21"/>
    </row>
    <row r="380">
      <c r="A380" s="58"/>
      <c r="D380" s="21"/>
    </row>
    <row r="381">
      <c r="A381" s="58"/>
      <c r="D381" s="21"/>
    </row>
    <row r="382">
      <c r="A382" s="58"/>
      <c r="D382" s="21"/>
    </row>
    <row r="383">
      <c r="A383" s="58"/>
      <c r="D383" s="21"/>
    </row>
    <row r="384">
      <c r="A384" s="58"/>
      <c r="D384" s="21"/>
    </row>
    <row r="385">
      <c r="A385" s="58"/>
      <c r="D385" s="21"/>
    </row>
    <row r="386">
      <c r="A386" s="58"/>
      <c r="D386" s="21"/>
    </row>
    <row r="387">
      <c r="A387" s="58"/>
      <c r="D387" s="21"/>
    </row>
    <row r="388">
      <c r="A388" s="58"/>
      <c r="D388" s="21"/>
    </row>
    <row r="389">
      <c r="A389" s="58"/>
      <c r="D389" s="21"/>
    </row>
    <row r="390">
      <c r="A390" s="58"/>
      <c r="D390" s="21"/>
    </row>
    <row r="391">
      <c r="A391" s="58"/>
      <c r="D391" s="21"/>
    </row>
    <row r="392">
      <c r="A392" s="58"/>
      <c r="D392" s="21"/>
    </row>
    <row r="393">
      <c r="A393" s="58"/>
      <c r="D393" s="21"/>
    </row>
    <row r="394">
      <c r="A394" s="58"/>
      <c r="D394" s="21"/>
    </row>
    <row r="395">
      <c r="A395" s="58"/>
      <c r="D395" s="21"/>
    </row>
    <row r="396">
      <c r="A396" s="58"/>
      <c r="D396" s="21"/>
    </row>
    <row r="397">
      <c r="A397" s="58"/>
      <c r="D397" s="21"/>
    </row>
    <row r="398">
      <c r="A398" s="58"/>
      <c r="D398" s="21"/>
    </row>
    <row r="399">
      <c r="A399" s="58"/>
      <c r="D399" s="21"/>
    </row>
    <row r="400">
      <c r="A400" s="58"/>
      <c r="D400" s="21"/>
    </row>
    <row r="401">
      <c r="A401" s="58"/>
      <c r="D401" s="21"/>
    </row>
    <row r="402">
      <c r="A402" s="58"/>
      <c r="D402" s="21"/>
    </row>
    <row r="403">
      <c r="A403" s="58"/>
      <c r="D403" s="21"/>
    </row>
    <row r="404">
      <c r="A404" s="58"/>
      <c r="D404" s="21"/>
    </row>
    <row r="405">
      <c r="A405" s="58"/>
      <c r="D405" s="21"/>
    </row>
    <row r="406">
      <c r="A406" s="58"/>
      <c r="D406" s="21"/>
    </row>
    <row r="407">
      <c r="A407" s="58"/>
      <c r="D407" s="21"/>
    </row>
    <row r="408">
      <c r="A408" s="58"/>
      <c r="D408" s="21"/>
    </row>
    <row r="409">
      <c r="A409" s="58"/>
      <c r="D409" s="21"/>
    </row>
    <row r="410">
      <c r="A410" s="58"/>
      <c r="D410" s="21"/>
    </row>
    <row r="411">
      <c r="A411" s="58"/>
      <c r="D411" s="21"/>
    </row>
    <row r="412">
      <c r="A412" s="58"/>
      <c r="D412" s="21"/>
    </row>
    <row r="413">
      <c r="A413" s="58"/>
      <c r="D413" s="21"/>
    </row>
    <row r="414">
      <c r="A414" s="58"/>
      <c r="D414" s="21"/>
    </row>
    <row r="415">
      <c r="A415" s="58"/>
      <c r="D415" s="21"/>
    </row>
    <row r="416">
      <c r="A416" s="58"/>
      <c r="D416" s="21"/>
    </row>
    <row r="417">
      <c r="A417" s="58"/>
      <c r="D417" s="21"/>
    </row>
    <row r="418">
      <c r="A418" s="58"/>
      <c r="D418" s="21"/>
    </row>
    <row r="419">
      <c r="A419" s="58"/>
      <c r="D419" s="21"/>
    </row>
    <row r="420">
      <c r="A420" s="58"/>
      <c r="D420" s="21"/>
    </row>
    <row r="421">
      <c r="A421" s="58"/>
      <c r="D421" s="21"/>
    </row>
    <row r="422">
      <c r="A422" s="58"/>
      <c r="D422" s="21"/>
    </row>
    <row r="423">
      <c r="A423" s="58"/>
      <c r="D423" s="21"/>
    </row>
    <row r="424">
      <c r="A424" s="58"/>
      <c r="D424" s="21"/>
    </row>
    <row r="425">
      <c r="A425" s="58"/>
      <c r="D425" s="21"/>
    </row>
    <row r="426">
      <c r="A426" s="58"/>
      <c r="D426" s="21"/>
    </row>
    <row r="427">
      <c r="A427" s="58"/>
      <c r="D427" s="21"/>
    </row>
    <row r="428">
      <c r="A428" s="58"/>
      <c r="D428" s="21"/>
    </row>
    <row r="429">
      <c r="A429" s="58"/>
      <c r="D429" s="21"/>
    </row>
    <row r="430">
      <c r="A430" s="58"/>
      <c r="D430" s="21"/>
    </row>
    <row r="431">
      <c r="A431" s="58"/>
      <c r="D431" s="21"/>
    </row>
    <row r="432">
      <c r="A432" s="58"/>
      <c r="D432" s="21"/>
    </row>
    <row r="433">
      <c r="A433" s="58"/>
      <c r="D433" s="21"/>
    </row>
    <row r="434">
      <c r="A434" s="58"/>
      <c r="D434" s="21"/>
    </row>
    <row r="435">
      <c r="A435" s="58"/>
      <c r="D435" s="21"/>
    </row>
    <row r="436">
      <c r="A436" s="58"/>
      <c r="D436" s="21"/>
    </row>
    <row r="437">
      <c r="A437" s="58"/>
      <c r="D437" s="21"/>
    </row>
    <row r="438">
      <c r="A438" s="58"/>
      <c r="D438" s="21"/>
    </row>
    <row r="439">
      <c r="A439" s="58"/>
      <c r="D439" s="21"/>
    </row>
    <row r="440">
      <c r="A440" s="58"/>
      <c r="D440" s="21"/>
    </row>
    <row r="441">
      <c r="A441" s="58"/>
      <c r="D441" s="21"/>
    </row>
    <row r="442">
      <c r="A442" s="58"/>
      <c r="D442" s="21"/>
    </row>
    <row r="443">
      <c r="A443" s="58"/>
      <c r="D443" s="21"/>
    </row>
    <row r="444">
      <c r="A444" s="58"/>
      <c r="D444" s="21"/>
    </row>
    <row r="445">
      <c r="A445" s="58"/>
      <c r="D445" s="21"/>
    </row>
    <row r="446">
      <c r="A446" s="58"/>
      <c r="D446" s="21"/>
    </row>
    <row r="447">
      <c r="A447" s="58"/>
      <c r="D447" s="21"/>
    </row>
    <row r="448">
      <c r="A448" s="58"/>
      <c r="D448" s="21"/>
    </row>
    <row r="449">
      <c r="A449" s="58"/>
      <c r="D449" s="21"/>
    </row>
    <row r="450">
      <c r="A450" s="58"/>
      <c r="D450" s="21"/>
    </row>
    <row r="451">
      <c r="A451" s="58"/>
      <c r="D451" s="21"/>
    </row>
    <row r="452">
      <c r="A452" s="58"/>
      <c r="D452" s="21"/>
    </row>
    <row r="453">
      <c r="A453" s="58"/>
      <c r="D453" s="21"/>
    </row>
    <row r="454">
      <c r="A454" s="58"/>
      <c r="D454" s="21"/>
    </row>
    <row r="455">
      <c r="A455" s="58"/>
      <c r="D455" s="21"/>
    </row>
    <row r="456">
      <c r="A456" s="58"/>
      <c r="D456" s="21"/>
    </row>
    <row r="457">
      <c r="A457" s="58"/>
      <c r="D457" s="21"/>
    </row>
    <row r="458">
      <c r="A458" s="58"/>
      <c r="D458" s="21"/>
    </row>
    <row r="459">
      <c r="A459" s="58"/>
      <c r="D459" s="21"/>
    </row>
    <row r="460">
      <c r="A460" s="58"/>
      <c r="D460" s="21"/>
    </row>
    <row r="461">
      <c r="A461" s="58"/>
      <c r="D461" s="21"/>
    </row>
    <row r="462">
      <c r="A462" s="58"/>
      <c r="D462" s="21"/>
    </row>
    <row r="463">
      <c r="A463" s="58"/>
      <c r="D463" s="21"/>
    </row>
    <row r="464">
      <c r="A464" s="58"/>
      <c r="D464" s="21"/>
    </row>
    <row r="465">
      <c r="A465" s="58"/>
      <c r="D465" s="21"/>
    </row>
    <row r="466">
      <c r="A466" s="58"/>
      <c r="D466" s="21"/>
    </row>
    <row r="467">
      <c r="A467" s="58"/>
      <c r="D467" s="21"/>
    </row>
    <row r="468">
      <c r="A468" s="58"/>
      <c r="D468" s="21"/>
    </row>
    <row r="469">
      <c r="A469" s="58"/>
      <c r="D469" s="21"/>
    </row>
    <row r="470">
      <c r="A470" s="58"/>
      <c r="D470" s="21"/>
    </row>
    <row r="471">
      <c r="A471" s="58"/>
      <c r="D471" s="21"/>
    </row>
    <row r="472">
      <c r="A472" s="58"/>
      <c r="D472" s="21"/>
    </row>
    <row r="473">
      <c r="A473" s="58"/>
      <c r="D473" s="21"/>
    </row>
    <row r="474">
      <c r="A474" s="58"/>
      <c r="D474" s="21"/>
    </row>
    <row r="475">
      <c r="A475" s="58"/>
      <c r="D475" s="21"/>
    </row>
    <row r="476">
      <c r="A476" s="58"/>
      <c r="D476" s="21"/>
    </row>
    <row r="477">
      <c r="A477" s="58"/>
      <c r="D477" s="21"/>
    </row>
    <row r="478">
      <c r="A478" s="58"/>
      <c r="D478" s="21"/>
    </row>
    <row r="479">
      <c r="A479" s="58"/>
      <c r="D479" s="21"/>
    </row>
    <row r="480">
      <c r="A480" s="58"/>
      <c r="D480" s="21"/>
    </row>
    <row r="481">
      <c r="A481" s="58"/>
      <c r="D481" s="21"/>
    </row>
    <row r="482">
      <c r="A482" s="58"/>
      <c r="D482" s="21"/>
    </row>
    <row r="483">
      <c r="A483" s="58"/>
      <c r="D483" s="21"/>
    </row>
    <row r="484">
      <c r="A484" s="58"/>
      <c r="D484" s="21"/>
    </row>
    <row r="485">
      <c r="A485" s="58"/>
      <c r="D485" s="21"/>
    </row>
    <row r="486">
      <c r="A486" s="58"/>
      <c r="D486" s="21"/>
    </row>
    <row r="487">
      <c r="A487" s="58"/>
      <c r="D487" s="21"/>
    </row>
    <row r="488">
      <c r="A488" s="58"/>
      <c r="D488" s="21"/>
    </row>
    <row r="489">
      <c r="A489" s="58"/>
      <c r="D489" s="21"/>
    </row>
    <row r="490">
      <c r="A490" s="58"/>
      <c r="D490" s="21"/>
    </row>
    <row r="491">
      <c r="A491" s="58"/>
      <c r="D491" s="21"/>
    </row>
    <row r="492">
      <c r="A492" s="58"/>
      <c r="D492" s="21"/>
    </row>
    <row r="493">
      <c r="A493" s="58"/>
      <c r="D493" s="21"/>
    </row>
    <row r="494">
      <c r="A494" s="58"/>
      <c r="D494" s="21"/>
    </row>
    <row r="495">
      <c r="A495" s="58"/>
      <c r="D495" s="21"/>
    </row>
    <row r="496">
      <c r="A496" s="58"/>
      <c r="D496" s="21"/>
    </row>
    <row r="497">
      <c r="A497" s="58"/>
      <c r="D497" s="21"/>
    </row>
    <row r="498">
      <c r="A498" s="58"/>
      <c r="D498" s="21"/>
    </row>
    <row r="499">
      <c r="A499" s="58"/>
      <c r="D499" s="21"/>
    </row>
    <row r="500">
      <c r="A500" s="58"/>
      <c r="D500" s="21"/>
    </row>
    <row r="501">
      <c r="A501" s="58"/>
      <c r="D501" s="21"/>
    </row>
    <row r="502">
      <c r="A502" s="58"/>
      <c r="D502" s="21"/>
    </row>
    <row r="503">
      <c r="A503" s="58"/>
      <c r="D503" s="21"/>
    </row>
    <row r="504">
      <c r="A504" s="58"/>
      <c r="D504" s="21"/>
    </row>
    <row r="505">
      <c r="A505" s="58"/>
      <c r="D505" s="21"/>
    </row>
    <row r="506">
      <c r="A506" s="58"/>
      <c r="D506" s="21"/>
    </row>
    <row r="507">
      <c r="A507" s="58"/>
      <c r="D507" s="21"/>
    </row>
    <row r="508">
      <c r="A508" s="58"/>
      <c r="D508" s="21"/>
    </row>
    <row r="509">
      <c r="A509" s="58"/>
      <c r="D509" s="21"/>
    </row>
    <row r="510">
      <c r="A510" s="58"/>
      <c r="D510" s="21"/>
    </row>
    <row r="511">
      <c r="A511" s="58"/>
      <c r="D511" s="21"/>
    </row>
    <row r="512">
      <c r="A512" s="58"/>
      <c r="D512" s="21"/>
    </row>
    <row r="513">
      <c r="A513" s="58"/>
      <c r="D513" s="21"/>
    </row>
    <row r="514">
      <c r="A514" s="58"/>
      <c r="D514" s="21"/>
    </row>
    <row r="515">
      <c r="A515" s="58"/>
      <c r="D515" s="21"/>
    </row>
    <row r="516">
      <c r="A516" s="58"/>
      <c r="D516" s="21"/>
    </row>
    <row r="517">
      <c r="A517" s="58"/>
      <c r="D517" s="21"/>
    </row>
    <row r="518">
      <c r="A518" s="58"/>
      <c r="D518" s="21"/>
    </row>
    <row r="519">
      <c r="A519" s="58"/>
      <c r="D519" s="21"/>
    </row>
    <row r="520">
      <c r="A520" s="58"/>
      <c r="D520" s="21"/>
    </row>
    <row r="521">
      <c r="A521" s="58"/>
      <c r="D521" s="21"/>
    </row>
    <row r="522">
      <c r="A522" s="58"/>
      <c r="D522" s="21"/>
    </row>
    <row r="523">
      <c r="A523" s="58"/>
      <c r="D523" s="21"/>
    </row>
    <row r="524">
      <c r="A524" s="58"/>
      <c r="D524" s="21"/>
    </row>
    <row r="525">
      <c r="A525" s="58"/>
      <c r="D525" s="21"/>
    </row>
    <row r="526">
      <c r="A526" s="58"/>
      <c r="D526" s="21"/>
    </row>
    <row r="527">
      <c r="A527" s="58"/>
      <c r="D527" s="21"/>
    </row>
    <row r="528">
      <c r="A528" s="58"/>
      <c r="D528" s="21"/>
    </row>
    <row r="529">
      <c r="A529" s="58"/>
      <c r="D529" s="21"/>
    </row>
    <row r="530">
      <c r="A530" s="58"/>
      <c r="D530" s="21"/>
    </row>
    <row r="531">
      <c r="A531" s="58"/>
      <c r="D531" s="21"/>
    </row>
    <row r="532">
      <c r="A532" s="58"/>
      <c r="D532" s="21"/>
    </row>
    <row r="533">
      <c r="A533" s="58"/>
      <c r="D533" s="21"/>
    </row>
    <row r="534">
      <c r="A534" s="58"/>
      <c r="D534" s="21"/>
    </row>
    <row r="535">
      <c r="A535" s="58"/>
      <c r="D535" s="21"/>
    </row>
    <row r="536">
      <c r="A536" s="58"/>
      <c r="D536" s="21"/>
    </row>
    <row r="537">
      <c r="A537" s="58"/>
      <c r="D537" s="21"/>
    </row>
    <row r="538">
      <c r="A538" s="58"/>
      <c r="D538" s="21"/>
    </row>
    <row r="539">
      <c r="A539" s="58"/>
      <c r="D539" s="21"/>
    </row>
    <row r="540">
      <c r="A540" s="58"/>
      <c r="D540" s="21"/>
    </row>
    <row r="541">
      <c r="A541" s="58"/>
      <c r="D541" s="21"/>
    </row>
    <row r="542">
      <c r="A542" s="58"/>
      <c r="D542" s="21"/>
    </row>
    <row r="543">
      <c r="A543" s="58"/>
      <c r="D543" s="21"/>
    </row>
    <row r="544">
      <c r="A544" s="58"/>
      <c r="D544" s="21"/>
    </row>
    <row r="545">
      <c r="A545" s="58"/>
      <c r="D545" s="21"/>
    </row>
    <row r="546">
      <c r="A546" s="58"/>
      <c r="D546" s="21"/>
    </row>
    <row r="547">
      <c r="A547" s="58"/>
      <c r="D547" s="21"/>
    </row>
    <row r="548">
      <c r="A548" s="58"/>
      <c r="D548" s="21"/>
    </row>
    <row r="549">
      <c r="A549" s="58"/>
      <c r="D549" s="21"/>
    </row>
    <row r="550">
      <c r="A550" s="58"/>
      <c r="D550" s="21"/>
    </row>
    <row r="551">
      <c r="A551" s="58"/>
      <c r="D551" s="21"/>
    </row>
    <row r="552">
      <c r="A552" s="58"/>
      <c r="D552" s="21"/>
    </row>
    <row r="553">
      <c r="A553" s="58"/>
      <c r="D553" s="21"/>
    </row>
    <row r="554">
      <c r="A554" s="58"/>
      <c r="D554" s="21"/>
    </row>
    <row r="555">
      <c r="A555" s="58"/>
      <c r="D555" s="21"/>
    </row>
    <row r="556">
      <c r="A556" s="58"/>
      <c r="D556" s="21"/>
    </row>
    <row r="557">
      <c r="A557" s="58"/>
      <c r="D557" s="21"/>
    </row>
    <row r="558">
      <c r="A558" s="58"/>
      <c r="D558" s="21"/>
    </row>
    <row r="559">
      <c r="A559" s="58"/>
      <c r="D559" s="21"/>
    </row>
    <row r="560">
      <c r="A560" s="58"/>
      <c r="D560" s="21"/>
    </row>
    <row r="561">
      <c r="A561" s="58"/>
      <c r="D561" s="21"/>
    </row>
    <row r="562">
      <c r="A562" s="58"/>
      <c r="D562" s="21"/>
    </row>
    <row r="563">
      <c r="A563" s="58"/>
      <c r="D563" s="21"/>
    </row>
    <row r="564">
      <c r="A564" s="58"/>
      <c r="D564" s="21"/>
    </row>
    <row r="565">
      <c r="A565" s="58"/>
      <c r="D565" s="21"/>
    </row>
    <row r="566">
      <c r="A566" s="58"/>
      <c r="D566" s="21"/>
    </row>
    <row r="567">
      <c r="A567" s="58"/>
      <c r="D567" s="21"/>
    </row>
    <row r="568">
      <c r="A568" s="58"/>
      <c r="D568" s="21"/>
    </row>
    <row r="569">
      <c r="A569" s="58"/>
      <c r="D569" s="21"/>
    </row>
    <row r="570">
      <c r="A570" s="58"/>
      <c r="D570" s="21"/>
    </row>
    <row r="571">
      <c r="A571" s="58"/>
      <c r="D571" s="21"/>
    </row>
    <row r="572">
      <c r="A572" s="58"/>
      <c r="D572" s="21"/>
    </row>
    <row r="573">
      <c r="A573" s="58"/>
      <c r="D573" s="21"/>
    </row>
    <row r="574">
      <c r="A574" s="58"/>
      <c r="D574" s="21"/>
    </row>
    <row r="575">
      <c r="A575" s="58"/>
      <c r="D575" s="21"/>
    </row>
    <row r="576">
      <c r="A576" s="58"/>
      <c r="D576" s="21"/>
    </row>
    <row r="577">
      <c r="A577" s="58"/>
      <c r="D577" s="21"/>
    </row>
    <row r="578">
      <c r="A578" s="58"/>
      <c r="D578" s="21"/>
    </row>
    <row r="579">
      <c r="A579" s="58"/>
      <c r="D579" s="21"/>
    </row>
    <row r="580">
      <c r="A580" s="58"/>
      <c r="D580" s="21"/>
    </row>
    <row r="581">
      <c r="A581" s="58"/>
      <c r="D581" s="21"/>
    </row>
    <row r="582">
      <c r="A582" s="58"/>
      <c r="D582" s="21"/>
    </row>
    <row r="583">
      <c r="A583" s="58"/>
      <c r="D583" s="21"/>
    </row>
    <row r="584">
      <c r="A584" s="58"/>
      <c r="D584" s="21"/>
    </row>
    <row r="585">
      <c r="A585" s="58"/>
      <c r="D585" s="21"/>
    </row>
    <row r="586">
      <c r="A586" s="58"/>
      <c r="D586" s="21"/>
    </row>
    <row r="587">
      <c r="A587" s="58"/>
      <c r="D587" s="21"/>
    </row>
    <row r="588">
      <c r="A588" s="58"/>
      <c r="D588" s="21"/>
    </row>
    <row r="589">
      <c r="A589" s="58"/>
      <c r="D589" s="21"/>
    </row>
    <row r="590">
      <c r="A590" s="58"/>
      <c r="D590" s="21"/>
    </row>
    <row r="591">
      <c r="A591" s="58"/>
      <c r="D591" s="21"/>
    </row>
    <row r="592">
      <c r="A592" s="58"/>
      <c r="D592" s="21"/>
    </row>
    <row r="593">
      <c r="A593" s="58"/>
      <c r="D593" s="21"/>
    </row>
    <row r="594">
      <c r="A594" s="58"/>
      <c r="D594" s="21"/>
    </row>
    <row r="595">
      <c r="A595" s="58"/>
      <c r="D595" s="21"/>
    </row>
    <row r="596">
      <c r="A596" s="58"/>
      <c r="D596" s="21"/>
    </row>
    <row r="597">
      <c r="A597" s="58"/>
      <c r="D597" s="21"/>
    </row>
    <row r="598">
      <c r="A598" s="58"/>
      <c r="D598" s="21"/>
    </row>
    <row r="599">
      <c r="A599" s="58"/>
      <c r="D599" s="21"/>
    </row>
    <row r="600">
      <c r="A600" s="58"/>
      <c r="D600" s="21"/>
    </row>
    <row r="601">
      <c r="A601" s="58"/>
      <c r="D601" s="21"/>
    </row>
    <row r="602">
      <c r="A602" s="58"/>
      <c r="D602" s="21"/>
    </row>
    <row r="603">
      <c r="A603" s="58"/>
      <c r="D603" s="21"/>
    </row>
    <row r="604">
      <c r="A604" s="58"/>
      <c r="D604" s="21"/>
    </row>
    <row r="605">
      <c r="A605" s="58"/>
      <c r="D605" s="21"/>
    </row>
    <row r="606">
      <c r="A606" s="58"/>
      <c r="D606" s="21"/>
    </row>
    <row r="607">
      <c r="A607" s="58"/>
      <c r="D607" s="21"/>
    </row>
    <row r="608">
      <c r="A608" s="58"/>
      <c r="D608" s="21"/>
    </row>
    <row r="609">
      <c r="A609" s="58"/>
      <c r="D609" s="21"/>
    </row>
    <row r="610">
      <c r="A610" s="58"/>
      <c r="D610" s="21"/>
    </row>
    <row r="611">
      <c r="A611" s="58"/>
      <c r="D611" s="21"/>
    </row>
    <row r="612">
      <c r="A612" s="58"/>
      <c r="D612" s="21"/>
    </row>
    <row r="613">
      <c r="A613" s="58"/>
      <c r="D613" s="21"/>
    </row>
    <row r="614">
      <c r="A614" s="58"/>
      <c r="D614" s="21"/>
    </row>
    <row r="615">
      <c r="A615" s="58"/>
      <c r="D615" s="21"/>
    </row>
    <row r="616">
      <c r="A616" s="58"/>
      <c r="D616" s="21"/>
    </row>
    <row r="617">
      <c r="A617" s="58"/>
      <c r="D617" s="21"/>
    </row>
    <row r="618">
      <c r="A618" s="58"/>
      <c r="D618" s="21"/>
    </row>
    <row r="619">
      <c r="A619" s="58"/>
      <c r="D619" s="21"/>
    </row>
    <row r="620">
      <c r="A620" s="58"/>
      <c r="D620" s="21"/>
    </row>
    <row r="621">
      <c r="A621" s="58"/>
      <c r="D621" s="21"/>
    </row>
    <row r="622">
      <c r="A622" s="58"/>
      <c r="D622" s="21"/>
    </row>
    <row r="623">
      <c r="A623" s="58"/>
      <c r="D623" s="21"/>
    </row>
    <row r="624">
      <c r="A624" s="58"/>
      <c r="D624" s="21"/>
    </row>
    <row r="625">
      <c r="A625" s="58"/>
      <c r="D625" s="21"/>
    </row>
    <row r="626">
      <c r="A626" s="58"/>
      <c r="D626" s="21"/>
    </row>
    <row r="627">
      <c r="A627" s="58"/>
      <c r="D627" s="21"/>
    </row>
    <row r="628">
      <c r="A628" s="58"/>
      <c r="D628" s="21"/>
    </row>
    <row r="629">
      <c r="A629" s="58"/>
      <c r="D629" s="21"/>
    </row>
    <row r="630">
      <c r="A630" s="58"/>
      <c r="D630" s="21"/>
    </row>
    <row r="631">
      <c r="A631" s="58"/>
      <c r="D631" s="21"/>
    </row>
    <row r="632">
      <c r="A632" s="58"/>
      <c r="D632" s="21"/>
    </row>
    <row r="633">
      <c r="A633" s="58"/>
      <c r="D633" s="21"/>
    </row>
    <row r="634">
      <c r="A634" s="58"/>
      <c r="D634" s="21"/>
    </row>
    <row r="635">
      <c r="A635" s="58"/>
      <c r="D635" s="21"/>
    </row>
    <row r="636">
      <c r="A636" s="58"/>
      <c r="D636" s="21"/>
    </row>
    <row r="637">
      <c r="A637" s="58"/>
      <c r="D637" s="21"/>
    </row>
    <row r="638">
      <c r="A638" s="58"/>
      <c r="D638" s="21"/>
    </row>
    <row r="639">
      <c r="A639" s="58"/>
      <c r="D639" s="21"/>
    </row>
    <row r="640">
      <c r="A640" s="58"/>
      <c r="D640" s="21"/>
    </row>
    <row r="641">
      <c r="A641" s="58"/>
      <c r="D641" s="21"/>
    </row>
    <row r="642">
      <c r="A642" s="58"/>
      <c r="D642" s="21"/>
    </row>
    <row r="643">
      <c r="A643" s="58"/>
      <c r="D643" s="21"/>
    </row>
    <row r="644">
      <c r="A644" s="58"/>
      <c r="D644" s="21"/>
    </row>
    <row r="645">
      <c r="A645" s="58"/>
      <c r="D645" s="21"/>
    </row>
    <row r="646">
      <c r="A646" s="58"/>
      <c r="D646" s="21"/>
    </row>
    <row r="647">
      <c r="A647" s="58"/>
      <c r="D647" s="21"/>
    </row>
    <row r="648">
      <c r="A648" s="58"/>
      <c r="D648" s="21"/>
    </row>
    <row r="649">
      <c r="A649" s="58"/>
      <c r="D649" s="21"/>
    </row>
    <row r="650">
      <c r="A650" s="58"/>
      <c r="D650" s="21"/>
    </row>
    <row r="651">
      <c r="A651" s="58"/>
      <c r="D651" s="21"/>
    </row>
    <row r="652">
      <c r="A652" s="58"/>
      <c r="D652" s="21"/>
    </row>
    <row r="653">
      <c r="A653" s="58"/>
      <c r="D653" s="21"/>
    </row>
    <row r="654">
      <c r="A654" s="58"/>
      <c r="D654" s="21"/>
    </row>
    <row r="655">
      <c r="A655" s="58"/>
      <c r="D655" s="21"/>
    </row>
    <row r="656">
      <c r="A656" s="58"/>
      <c r="D656" s="21"/>
    </row>
    <row r="657">
      <c r="A657" s="58"/>
      <c r="D657" s="21"/>
    </row>
    <row r="658">
      <c r="A658" s="58"/>
      <c r="D658" s="21"/>
    </row>
    <row r="659">
      <c r="A659" s="58"/>
      <c r="D659" s="21"/>
    </row>
    <row r="660">
      <c r="A660" s="58"/>
      <c r="D660" s="21"/>
    </row>
    <row r="661">
      <c r="A661" s="58"/>
      <c r="D661" s="21"/>
    </row>
    <row r="662">
      <c r="A662" s="58"/>
      <c r="D662" s="21"/>
    </row>
    <row r="663">
      <c r="A663" s="58"/>
      <c r="D663" s="21"/>
    </row>
    <row r="664">
      <c r="A664" s="58"/>
      <c r="D664" s="21"/>
    </row>
    <row r="665">
      <c r="A665" s="58"/>
      <c r="D665" s="21"/>
    </row>
    <row r="666">
      <c r="A666" s="58"/>
      <c r="D666" s="21"/>
    </row>
    <row r="667">
      <c r="A667" s="58"/>
      <c r="D667" s="21"/>
    </row>
    <row r="668">
      <c r="A668" s="58"/>
      <c r="D668" s="21"/>
    </row>
    <row r="669">
      <c r="A669" s="58"/>
      <c r="D669" s="21"/>
    </row>
    <row r="670">
      <c r="A670" s="58"/>
      <c r="D670" s="21"/>
    </row>
    <row r="671">
      <c r="A671" s="58"/>
      <c r="D671" s="21"/>
    </row>
    <row r="672">
      <c r="A672" s="58"/>
      <c r="D672" s="21"/>
    </row>
    <row r="673">
      <c r="A673" s="58"/>
      <c r="D673" s="21"/>
    </row>
    <row r="674">
      <c r="A674" s="58"/>
      <c r="D674" s="21"/>
    </row>
    <row r="675">
      <c r="A675" s="58"/>
      <c r="D675" s="21"/>
    </row>
    <row r="676">
      <c r="A676" s="58"/>
      <c r="D676" s="21"/>
    </row>
    <row r="677">
      <c r="A677" s="58"/>
      <c r="D677" s="21"/>
    </row>
    <row r="678">
      <c r="A678" s="58"/>
      <c r="D678" s="21"/>
    </row>
    <row r="679">
      <c r="A679" s="58"/>
      <c r="D679" s="21"/>
    </row>
    <row r="680">
      <c r="A680" s="58"/>
      <c r="D680" s="21"/>
    </row>
    <row r="681">
      <c r="A681" s="58"/>
      <c r="D681" s="21"/>
    </row>
    <row r="682">
      <c r="A682" s="58"/>
      <c r="D682" s="21"/>
    </row>
    <row r="683">
      <c r="A683" s="58"/>
      <c r="D683" s="21"/>
    </row>
    <row r="684">
      <c r="A684" s="58"/>
      <c r="D684" s="21"/>
    </row>
    <row r="685">
      <c r="A685" s="58"/>
      <c r="D685" s="21"/>
    </row>
    <row r="686">
      <c r="A686" s="58"/>
      <c r="D686" s="21"/>
    </row>
    <row r="687">
      <c r="A687" s="58"/>
      <c r="D687" s="21"/>
    </row>
    <row r="688">
      <c r="A688" s="58"/>
      <c r="D688" s="21"/>
    </row>
    <row r="689">
      <c r="A689" s="58"/>
      <c r="D689" s="21"/>
    </row>
    <row r="690">
      <c r="A690" s="58"/>
      <c r="D690" s="21"/>
    </row>
    <row r="691">
      <c r="A691" s="58"/>
      <c r="D691" s="21"/>
    </row>
    <row r="692">
      <c r="A692" s="58"/>
      <c r="D692" s="21"/>
    </row>
    <row r="693">
      <c r="A693" s="58"/>
      <c r="D693" s="21"/>
    </row>
    <row r="694">
      <c r="A694" s="58"/>
      <c r="D694" s="21"/>
    </row>
    <row r="695">
      <c r="A695" s="58"/>
      <c r="D695" s="21"/>
    </row>
    <row r="696">
      <c r="A696" s="58"/>
      <c r="D696" s="21"/>
    </row>
    <row r="697">
      <c r="A697" s="58"/>
      <c r="D697" s="21"/>
    </row>
    <row r="698">
      <c r="A698" s="58"/>
      <c r="D698" s="21"/>
    </row>
    <row r="699">
      <c r="A699" s="58"/>
      <c r="D699" s="21"/>
    </row>
    <row r="700">
      <c r="A700" s="58"/>
      <c r="D700" s="21"/>
    </row>
    <row r="701">
      <c r="A701" s="58"/>
      <c r="D701" s="21"/>
    </row>
    <row r="702">
      <c r="A702" s="58"/>
      <c r="D702" s="21"/>
    </row>
    <row r="703">
      <c r="A703" s="58"/>
      <c r="D703" s="21"/>
    </row>
    <row r="704">
      <c r="A704" s="58"/>
      <c r="D704" s="21"/>
    </row>
    <row r="705">
      <c r="A705" s="58"/>
      <c r="D705" s="21"/>
    </row>
    <row r="706">
      <c r="A706" s="58"/>
      <c r="D706" s="21"/>
    </row>
    <row r="707">
      <c r="A707" s="58"/>
      <c r="D707" s="21"/>
    </row>
    <row r="708">
      <c r="A708" s="58"/>
      <c r="D708" s="21"/>
    </row>
    <row r="709">
      <c r="A709" s="58"/>
      <c r="D709" s="21"/>
    </row>
    <row r="710">
      <c r="A710" s="58"/>
      <c r="D710" s="21"/>
    </row>
    <row r="711">
      <c r="A711" s="58"/>
      <c r="D711" s="21"/>
    </row>
    <row r="712">
      <c r="A712" s="58"/>
      <c r="D712" s="21"/>
    </row>
    <row r="713">
      <c r="A713" s="58"/>
      <c r="D713" s="21"/>
    </row>
    <row r="714">
      <c r="A714" s="58"/>
      <c r="D714" s="21"/>
    </row>
    <row r="715">
      <c r="A715" s="58"/>
      <c r="D715" s="21"/>
    </row>
    <row r="716">
      <c r="A716" s="58"/>
      <c r="D716" s="21"/>
    </row>
    <row r="717">
      <c r="A717" s="58"/>
      <c r="D717" s="21"/>
    </row>
    <row r="718">
      <c r="A718" s="58"/>
      <c r="D718" s="21"/>
    </row>
    <row r="719">
      <c r="A719" s="58"/>
      <c r="D719" s="21"/>
    </row>
    <row r="720">
      <c r="A720" s="58"/>
      <c r="D720" s="21"/>
    </row>
    <row r="721">
      <c r="A721" s="58"/>
      <c r="D721" s="21"/>
    </row>
    <row r="722">
      <c r="A722" s="58"/>
      <c r="D722" s="21"/>
    </row>
    <row r="723">
      <c r="A723" s="58"/>
      <c r="D723" s="21"/>
    </row>
    <row r="724">
      <c r="A724" s="58"/>
      <c r="D724" s="21"/>
    </row>
    <row r="725">
      <c r="A725" s="58"/>
      <c r="D725" s="21"/>
    </row>
    <row r="726">
      <c r="A726" s="58"/>
      <c r="D726" s="21"/>
    </row>
    <row r="727">
      <c r="A727" s="58"/>
      <c r="D727" s="21"/>
    </row>
    <row r="728">
      <c r="A728" s="58"/>
      <c r="D728" s="21"/>
    </row>
    <row r="729">
      <c r="A729" s="58"/>
      <c r="D729" s="21"/>
    </row>
    <row r="730">
      <c r="A730" s="58"/>
      <c r="D730" s="21"/>
    </row>
    <row r="731">
      <c r="A731" s="58"/>
      <c r="D731" s="21"/>
    </row>
    <row r="732">
      <c r="A732" s="58"/>
      <c r="D732" s="21"/>
    </row>
    <row r="733">
      <c r="A733" s="58"/>
      <c r="D733" s="21"/>
    </row>
    <row r="734">
      <c r="A734" s="58"/>
      <c r="D734" s="21"/>
    </row>
    <row r="735">
      <c r="A735" s="58"/>
      <c r="D735" s="21"/>
    </row>
    <row r="736">
      <c r="A736" s="58"/>
      <c r="D736" s="21"/>
    </row>
    <row r="737">
      <c r="A737" s="58"/>
      <c r="D737" s="21"/>
    </row>
    <row r="738">
      <c r="A738" s="58"/>
      <c r="D738" s="21"/>
    </row>
    <row r="739">
      <c r="A739" s="58"/>
      <c r="D739" s="21"/>
    </row>
    <row r="740">
      <c r="A740" s="58"/>
      <c r="D740" s="21"/>
    </row>
    <row r="741">
      <c r="A741" s="58"/>
      <c r="D741" s="21"/>
    </row>
    <row r="742">
      <c r="A742" s="58"/>
      <c r="D742" s="21"/>
    </row>
    <row r="743">
      <c r="A743" s="58"/>
      <c r="D743" s="21"/>
    </row>
    <row r="744">
      <c r="A744" s="58"/>
      <c r="D744" s="21"/>
    </row>
    <row r="745">
      <c r="A745" s="58"/>
      <c r="D745" s="21"/>
    </row>
    <row r="746">
      <c r="A746" s="58"/>
      <c r="D746" s="21"/>
    </row>
    <row r="747">
      <c r="A747" s="58"/>
      <c r="D747" s="21"/>
    </row>
    <row r="748">
      <c r="A748" s="58"/>
      <c r="D748" s="21"/>
    </row>
    <row r="749">
      <c r="A749" s="58"/>
      <c r="D749" s="21"/>
    </row>
    <row r="750">
      <c r="A750" s="58"/>
      <c r="D750" s="21"/>
    </row>
    <row r="751">
      <c r="A751" s="58"/>
      <c r="D751" s="21"/>
    </row>
    <row r="752">
      <c r="A752" s="58"/>
      <c r="D752" s="21"/>
    </row>
    <row r="753">
      <c r="A753" s="58"/>
      <c r="D753" s="21"/>
    </row>
    <row r="754">
      <c r="A754" s="58"/>
      <c r="D754" s="21"/>
    </row>
    <row r="755">
      <c r="A755" s="58"/>
      <c r="D755" s="21"/>
    </row>
    <row r="756">
      <c r="A756" s="58"/>
      <c r="D756" s="21"/>
    </row>
    <row r="757">
      <c r="A757" s="58"/>
      <c r="D757" s="21"/>
    </row>
    <row r="758">
      <c r="A758" s="58"/>
      <c r="D758" s="21"/>
    </row>
    <row r="759">
      <c r="A759" s="58"/>
      <c r="D759" s="21"/>
    </row>
    <row r="760">
      <c r="A760" s="58"/>
      <c r="D760" s="21"/>
    </row>
    <row r="761">
      <c r="A761" s="58"/>
      <c r="D761" s="21"/>
    </row>
    <row r="762">
      <c r="A762" s="58"/>
      <c r="D762" s="21"/>
    </row>
    <row r="763">
      <c r="A763" s="58"/>
      <c r="D763" s="21"/>
    </row>
    <row r="764">
      <c r="A764" s="58"/>
      <c r="D764" s="21"/>
    </row>
    <row r="765">
      <c r="A765" s="58"/>
      <c r="D765" s="21"/>
    </row>
    <row r="766">
      <c r="A766" s="58"/>
      <c r="D766" s="21"/>
    </row>
    <row r="767">
      <c r="A767" s="58"/>
      <c r="D767" s="21"/>
    </row>
    <row r="768">
      <c r="A768" s="58"/>
      <c r="D768" s="21"/>
    </row>
    <row r="769">
      <c r="A769" s="58"/>
      <c r="D769" s="21"/>
    </row>
    <row r="770">
      <c r="A770" s="58"/>
      <c r="D770" s="21"/>
    </row>
    <row r="771">
      <c r="A771" s="58"/>
      <c r="D771" s="21"/>
    </row>
    <row r="772">
      <c r="A772" s="58"/>
      <c r="D772" s="21"/>
    </row>
    <row r="773">
      <c r="A773" s="58"/>
      <c r="D773" s="21"/>
    </row>
    <row r="774">
      <c r="A774" s="58"/>
      <c r="D774" s="21"/>
    </row>
    <row r="775">
      <c r="A775" s="58"/>
      <c r="D775" s="21"/>
    </row>
    <row r="776">
      <c r="A776" s="58"/>
      <c r="D776" s="21"/>
    </row>
    <row r="777">
      <c r="A777" s="58"/>
      <c r="D777" s="21"/>
    </row>
    <row r="778">
      <c r="A778" s="58"/>
      <c r="D778" s="21"/>
    </row>
    <row r="779">
      <c r="A779" s="58"/>
      <c r="D779" s="21"/>
    </row>
    <row r="780">
      <c r="A780" s="58"/>
      <c r="D780" s="21"/>
    </row>
    <row r="781">
      <c r="A781" s="58"/>
      <c r="D781" s="21"/>
    </row>
    <row r="782">
      <c r="A782" s="58"/>
      <c r="D782" s="21"/>
    </row>
    <row r="783">
      <c r="A783" s="58"/>
      <c r="D783" s="21"/>
    </row>
    <row r="784">
      <c r="A784" s="58"/>
      <c r="D784" s="21"/>
    </row>
    <row r="785">
      <c r="A785" s="58"/>
      <c r="D785" s="21"/>
    </row>
    <row r="786">
      <c r="A786" s="58"/>
      <c r="D786" s="21"/>
    </row>
    <row r="787">
      <c r="A787" s="58"/>
      <c r="D787" s="21"/>
    </row>
    <row r="788">
      <c r="A788" s="58"/>
      <c r="D788" s="21"/>
    </row>
    <row r="789">
      <c r="A789" s="58"/>
      <c r="D789" s="21"/>
    </row>
    <row r="790">
      <c r="A790" s="58"/>
      <c r="D790" s="21"/>
    </row>
    <row r="791">
      <c r="A791" s="58"/>
      <c r="D791" s="21"/>
    </row>
    <row r="792">
      <c r="A792" s="58"/>
      <c r="D792" s="21"/>
    </row>
    <row r="793">
      <c r="A793" s="58"/>
      <c r="D793" s="21"/>
    </row>
    <row r="794">
      <c r="A794" s="58"/>
      <c r="D794" s="21"/>
    </row>
    <row r="795">
      <c r="A795" s="58"/>
      <c r="D795" s="21"/>
    </row>
    <row r="796">
      <c r="A796" s="58"/>
      <c r="D796" s="21"/>
    </row>
    <row r="797">
      <c r="A797" s="58"/>
      <c r="D797" s="21"/>
    </row>
    <row r="798">
      <c r="A798" s="58"/>
      <c r="D798" s="21"/>
    </row>
    <row r="799">
      <c r="A799" s="58"/>
      <c r="D799" s="21"/>
    </row>
    <row r="800">
      <c r="A800" s="58"/>
      <c r="D800" s="21"/>
    </row>
    <row r="801">
      <c r="A801" s="58"/>
      <c r="D801" s="21"/>
    </row>
    <row r="802">
      <c r="A802" s="58"/>
      <c r="D802" s="21"/>
    </row>
    <row r="803">
      <c r="A803" s="58"/>
      <c r="D803" s="21"/>
    </row>
    <row r="804">
      <c r="A804" s="58"/>
      <c r="D804" s="21"/>
    </row>
    <row r="805">
      <c r="A805" s="58"/>
      <c r="D805" s="21"/>
    </row>
    <row r="806">
      <c r="A806" s="58"/>
      <c r="D806" s="21"/>
    </row>
    <row r="807">
      <c r="A807" s="58"/>
      <c r="D807" s="21"/>
    </row>
    <row r="808">
      <c r="A808" s="58"/>
      <c r="D808" s="21"/>
    </row>
    <row r="809">
      <c r="A809" s="58"/>
      <c r="D809" s="21"/>
    </row>
    <row r="810">
      <c r="A810" s="58"/>
      <c r="D810" s="21"/>
    </row>
    <row r="811">
      <c r="A811" s="58"/>
      <c r="D811" s="21"/>
    </row>
    <row r="812">
      <c r="A812" s="58"/>
      <c r="D812" s="21"/>
    </row>
    <row r="813">
      <c r="A813" s="58"/>
      <c r="D813" s="21"/>
    </row>
    <row r="814">
      <c r="A814" s="58"/>
      <c r="D814" s="21"/>
    </row>
    <row r="815">
      <c r="A815" s="58"/>
      <c r="D815" s="21"/>
    </row>
    <row r="816">
      <c r="A816" s="58"/>
      <c r="D816" s="21"/>
    </row>
    <row r="817">
      <c r="A817" s="58"/>
      <c r="D817" s="21"/>
    </row>
    <row r="818">
      <c r="A818" s="58"/>
      <c r="D818" s="21"/>
    </row>
    <row r="819">
      <c r="A819" s="58"/>
      <c r="D819" s="21"/>
    </row>
    <row r="820">
      <c r="A820" s="58"/>
      <c r="D820" s="21"/>
    </row>
    <row r="821">
      <c r="A821" s="58"/>
      <c r="D821" s="21"/>
    </row>
    <row r="822">
      <c r="A822" s="58"/>
      <c r="D822" s="21"/>
    </row>
    <row r="823">
      <c r="A823" s="58"/>
      <c r="D823" s="21"/>
    </row>
    <row r="824">
      <c r="A824" s="58"/>
      <c r="D824" s="21"/>
    </row>
    <row r="825">
      <c r="A825" s="58"/>
      <c r="D825" s="21"/>
    </row>
    <row r="826">
      <c r="A826" s="58"/>
      <c r="D826" s="21"/>
    </row>
    <row r="827">
      <c r="A827" s="58"/>
      <c r="D827" s="21"/>
    </row>
    <row r="828">
      <c r="A828" s="58"/>
      <c r="D828" s="21"/>
    </row>
    <row r="829">
      <c r="A829" s="58"/>
      <c r="D829" s="21"/>
    </row>
    <row r="830">
      <c r="A830" s="58"/>
      <c r="D830" s="21"/>
    </row>
    <row r="831">
      <c r="A831" s="58"/>
      <c r="D831" s="21"/>
    </row>
    <row r="832">
      <c r="A832" s="58"/>
      <c r="D832" s="21"/>
    </row>
    <row r="833">
      <c r="A833" s="58"/>
      <c r="D833" s="21"/>
    </row>
    <row r="834">
      <c r="A834" s="58"/>
      <c r="D834" s="21"/>
    </row>
    <row r="835">
      <c r="A835" s="58"/>
      <c r="D835" s="21"/>
    </row>
    <row r="836">
      <c r="A836" s="58"/>
      <c r="D836" s="21"/>
    </row>
    <row r="837">
      <c r="A837" s="58"/>
      <c r="D837" s="21"/>
    </row>
    <row r="838">
      <c r="A838" s="58"/>
      <c r="D838" s="21"/>
    </row>
    <row r="839">
      <c r="A839" s="58"/>
      <c r="D839" s="21"/>
    </row>
    <row r="840">
      <c r="A840" s="58"/>
      <c r="D840" s="21"/>
    </row>
    <row r="841">
      <c r="A841" s="58"/>
      <c r="D841" s="21"/>
    </row>
    <row r="842">
      <c r="A842" s="58"/>
      <c r="D842" s="21"/>
    </row>
    <row r="843">
      <c r="A843" s="58"/>
      <c r="D843" s="21"/>
    </row>
    <row r="844">
      <c r="A844" s="58"/>
      <c r="D844" s="21"/>
    </row>
    <row r="845">
      <c r="A845" s="58"/>
      <c r="D845" s="21"/>
    </row>
    <row r="846">
      <c r="A846" s="58"/>
      <c r="D846" s="21"/>
    </row>
    <row r="847">
      <c r="A847" s="58"/>
      <c r="D847" s="21"/>
    </row>
    <row r="848">
      <c r="A848" s="58"/>
      <c r="D848" s="21"/>
    </row>
    <row r="849">
      <c r="A849" s="58"/>
      <c r="D849" s="21"/>
    </row>
    <row r="850">
      <c r="A850" s="58"/>
      <c r="D850" s="21"/>
    </row>
    <row r="851">
      <c r="A851" s="58"/>
      <c r="D851" s="21"/>
    </row>
    <row r="852">
      <c r="A852" s="58"/>
      <c r="D852" s="21"/>
    </row>
    <row r="853">
      <c r="A853" s="58"/>
      <c r="D853" s="21"/>
    </row>
    <row r="854">
      <c r="A854" s="58"/>
      <c r="D854" s="21"/>
    </row>
    <row r="855">
      <c r="A855" s="58"/>
      <c r="D855" s="21"/>
    </row>
    <row r="856">
      <c r="A856" s="58"/>
      <c r="D856" s="21"/>
    </row>
    <row r="857">
      <c r="A857" s="58"/>
      <c r="D857" s="21"/>
    </row>
    <row r="858">
      <c r="A858" s="58"/>
      <c r="D858" s="21"/>
    </row>
    <row r="859">
      <c r="A859" s="58"/>
      <c r="D859" s="21"/>
    </row>
    <row r="860">
      <c r="A860" s="58"/>
      <c r="D860" s="21"/>
    </row>
    <row r="861">
      <c r="A861" s="58"/>
      <c r="D861" s="21"/>
    </row>
    <row r="862">
      <c r="A862" s="58"/>
      <c r="D862" s="21"/>
    </row>
    <row r="863">
      <c r="A863" s="58"/>
      <c r="D863" s="21"/>
    </row>
    <row r="864">
      <c r="A864" s="58"/>
      <c r="D864" s="21"/>
    </row>
    <row r="865">
      <c r="A865" s="58"/>
      <c r="D865" s="21"/>
    </row>
    <row r="866">
      <c r="A866" s="58"/>
      <c r="D866" s="21"/>
    </row>
    <row r="867">
      <c r="A867" s="58"/>
      <c r="D867" s="21"/>
    </row>
    <row r="868">
      <c r="A868" s="58"/>
      <c r="D868" s="21"/>
    </row>
    <row r="869">
      <c r="A869" s="58"/>
      <c r="D869" s="21"/>
    </row>
    <row r="870">
      <c r="A870" s="58"/>
      <c r="D870" s="21"/>
    </row>
    <row r="871">
      <c r="A871" s="58"/>
      <c r="D871" s="21"/>
    </row>
    <row r="872">
      <c r="A872" s="58"/>
      <c r="D872" s="21"/>
    </row>
    <row r="873">
      <c r="A873" s="58"/>
      <c r="D873" s="21"/>
    </row>
    <row r="874">
      <c r="A874" s="58"/>
      <c r="D874" s="21"/>
    </row>
    <row r="875">
      <c r="A875" s="58"/>
      <c r="D875" s="21"/>
    </row>
    <row r="876">
      <c r="A876" s="58"/>
      <c r="D876" s="21"/>
    </row>
    <row r="877">
      <c r="A877" s="58"/>
      <c r="D877" s="21"/>
    </row>
    <row r="878">
      <c r="A878" s="58"/>
      <c r="D878" s="21"/>
    </row>
    <row r="879">
      <c r="A879" s="58"/>
      <c r="D879" s="21"/>
    </row>
    <row r="880">
      <c r="A880" s="58"/>
      <c r="D880" s="21"/>
    </row>
    <row r="881">
      <c r="A881" s="58"/>
      <c r="D881" s="21"/>
    </row>
    <row r="882">
      <c r="A882" s="58"/>
      <c r="D882" s="21"/>
    </row>
    <row r="883">
      <c r="A883" s="58"/>
      <c r="D883" s="21"/>
    </row>
    <row r="884">
      <c r="A884" s="58"/>
      <c r="D884" s="21"/>
    </row>
    <row r="885">
      <c r="A885" s="58"/>
      <c r="D885" s="21"/>
    </row>
    <row r="886">
      <c r="A886" s="58"/>
      <c r="D886" s="21"/>
    </row>
    <row r="887">
      <c r="A887" s="58"/>
      <c r="D887" s="21"/>
    </row>
    <row r="888">
      <c r="A888" s="58"/>
      <c r="D888" s="21"/>
    </row>
    <row r="889">
      <c r="A889" s="58"/>
      <c r="D889" s="21"/>
    </row>
    <row r="890">
      <c r="A890" s="58"/>
      <c r="D890" s="21"/>
    </row>
    <row r="891">
      <c r="A891" s="58"/>
      <c r="D891" s="21"/>
    </row>
    <row r="892">
      <c r="A892" s="58"/>
      <c r="D892" s="21"/>
    </row>
    <row r="893">
      <c r="A893" s="58"/>
      <c r="D893" s="21"/>
    </row>
    <row r="894">
      <c r="A894" s="58"/>
      <c r="D894" s="21"/>
    </row>
    <row r="895">
      <c r="A895" s="58"/>
      <c r="D895" s="21"/>
    </row>
    <row r="896">
      <c r="A896" s="58"/>
      <c r="D896" s="21"/>
    </row>
    <row r="897">
      <c r="A897" s="58"/>
      <c r="D897" s="21"/>
    </row>
    <row r="898">
      <c r="A898" s="58"/>
      <c r="D898" s="21"/>
    </row>
    <row r="899">
      <c r="A899" s="58"/>
      <c r="D899" s="21"/>
    </row>
    <row r="900">
      <c r="A900" s="58"/>
      <c r="D900" s="21"/>
    </row>
    <row r="901">
      <c r="A901" s="58"/>
      <c r="D901" s="21"/>
    </row>
    <row r="902">
      <c r="A902" s="58"/>
      <c r="D902" s="21"/>
    </row>
    <row r="903">
      <c r="A903" s="58"/>
      <c r="D903" s="21"/>
    </row>
    <row r="904">
      <c r="A904" s="58"/>
      <c r="D904" s="21"/>
    </row>
    <row r="905">
      <c r="A905" s="58"/>
      <c r="D905" s="21"/>
    </row>
    <row r="906">
      <c r="A906" s="58"/>
      <c r="D906" s="21"/>
    </row>
    <row r="907">
      <c r="A907" s="58"/>
      <c r="D907" s="21"/>
    </row>
    <row r="908">
      <c r="A908" s="58"/>
      <c r="D908" s="21"/>
    </row>
    <row r="909">
      <c r="A909" s="58"/>
      <c r="D909" s="21"/>
    </row>
    <row r="910">
      <c r="A910" s="58"/>
      <c r="D910" s="21"/>
    </row>
    <row r="911">
      <c r="A911" s="58"/>
      <c r="D911" s="21"/>
    </row>
    <row r="912">
      <c r="A912" s="58"/>
      <c r="D912" s="21"/>
    </row>
    <row r="913">
      <c r="A913" s="58"/>
      <c r="D913" s="21"/>
    </row>
    <row r="914">
      <c r="A914" s="58"/>
      <c r="D914" s="21"/>
    </row>
    <row r="915">
      <c r="A915" s="58"/>
      <c r="D915" s="21"/>
    </row>
    <row r="916">
      <c r="A916" s="58"/>
      <c r="D916" s="21"/>
    </row>
    <row r="917">
      <c r="A917" s="58"/>
      <c r="D917" s="21"/>
    </row>
    <row r="918">
      <c r="A918" s="58"/>
      <c r="D918" s="21"/>
    </row>
    <row r="919">
      <c r="A919" s="58"/>
      <c r="D919" s="21"/>
    </row>
    <row r="920">
      <c r="A920" s="58"/>
      <c r="D920" s="21"/>
    </row>
    <row r="921">
      <c r="A921" s="58"/>
      <c r="D921" s="21"/>
    </row>
    <row r="922">
      <c r="A922" s="58"/>
      <c r="D922" s="21"/>
    </row>
    <row r="923">
      <c r="A923" s="58"/>
      <c r="D923" s="21"/>
    </row>
    <row r="924">
      <c r="A924" s="58"/>
      <c r="D924" s="21"/>
    </row>
    <row r="925">
      <c r="A925" s="58"/>
      <c r="D925" s="21"/>
    </row>
    <row r="926">
      <c r="A926" s="58"/>
      <c r="D926" s="21"/>
    </row>
    <row r="927">
      <c r="A927" s="58"/>
      <c r="D927" s="21"/>
    </row>
    <row r="928">
      <c r="A928" s="58"/>
      <c r="D928" s="21"/>
    </row>
    <row r="929">
      <c r="A929" s="58"/>
      <c r="D929" s="21"/>
    </row>
    <row r="930">
      <c r="A930" s="58"/>
      <c r="D930" s="21"/>
    </row>
    <row r="931">
      <c r="A931" s="58"/>
      <c r="D931" s="21"/>
    </row>
    <row r="932">
      <c r="A932" s="58"/>
      <c r="D932" s="21"/>
    </row>
    <row r="933">
      <c r="A933" s="58"/>
      <c r="D933" s="21"/>
    </row>
    <row r="934">
      <c r="A934" s="58"/>
      <c r="D934" s="21"/>
    </row>
    <row r="935">
      <c r="A935" s="58"/>
      <c r="D935" s="21"/>
    </row>
    <row r="936">
      <c r="A936" s="58"/>
      <c r="D936" s="21"/>
    </row>
    <row r="937">
      <c r="A937" s="58"/>
      <c r="D937" s="21"/>
    </row>
    <row r="938">
      <c r="A938" s="58"/>
      <c r="D938" s="21"/>
    </row>
    <row r="939">
      <c r="A939" s="58"/>
      <c r="D939" s="21"/>
    </row>
    <row r="940">
      <c r="A940" s="58"/>
      <c r="D940" s="21"/>
    </row>
    <row r="941">
      <c r="A941" s="58"/>
      <c r="D941" s="21"/>
    </row>
    <row r="942">
      <c r="A942" s="58"/>
      <c r="D942" s="21"/>
    </row>
    <row r="943">
      <c r="A943" s="58"/>
      <c r="D943" s="21"/>
    </row>
    <row r="944">
      <c r="A944" s="58"/>
      <c r="D944" s="21"/>
    </row>
    <row r="945">
      <c r="A945" s="58"/>
      <c r="D945" s="21"/>
    </row>
    <row r="946">
      <c r="A946" s="58"/>
      <c r="D946" s="21"/>
    </row>
    <row r="947">
      <c r="A947" s="58"/>
      <c r="D947" s="21"/>
    </row>
    <row r="948">
      <c r="A948" s="58"/>
      <c r="D948" s="21"/>
    </row>
    <row r="949">
      <c r="A949" s="58"/>
      <c r="D949" s="21"/>
    </row>
    <row r="950">
      <c r="A950" s="58"/>
      <c r="D950" s="21"/>
    </row>
    <row r="951">
      <c r="A951" s="58"/>
      <c r="D951" s="21"/>
    </row>
    <row r="952">
      <c r="A952" s="58"/>
      <c r="D952" s="21"/>
    </row>
    <row r="953">
      <c r="A953" s="58"/>
      <c r="D953" s="21"/>
    </row>
    <row r="954">
      <c r="A954" s="58"/>
      <c r="D954" s="21"/>
    </row>
    <row r="955">
      <c r="A955" s="58"/>
      <c r="D955" s="21"/>
    </row>
    <row r="956">
      <c r="A956" s="58"/>
      <c r="D956" s="21"/>
    </row>
    <row r="957">
      <c r="A957" s="58"/>
      <c r="D957" s="21"/>
    </row>
    <row r="958">
      <c r="A958" s="58"/>
      <c r="D958" s="21"/>
    </row>
    <row r="959">
      <c r="A959" s="58"/>
      <c r="D959" s="21"/>
    </row>
    <row r="960">
      <c r="A960" s="58"/>
      <c r="D960" s="21"/>
    </row>
    <row r="961">
      <c r="A961" s="58"/>
      <c r="D961" s="21"/>
    </row>
    <row r="962">
      <c r="A962" s="58"/>
      <c r="D962" s="21"/>
    </row>
    <row r="963">
      <c r="A963" s="58"/>
      <c r="D963" s="21"/>
    </row>
    <row r="964">
      <c r="A964" s="58"/>
      <c r="D964" s="21"/>
    </row>
    <row r="965">
      <c r="A965" s="58"/>
      <c r="D965" s="21"/>
    </row>
    <row r="966">
      <c r="A966" s="58"/>
      <c r="D966" s="21"/>
    </row>
    <row r="967">
      <c r="A967" s="58"/>
      <c r="D967" s="21"/>
    </row>
    <row r="968">
      <c r="A968" s="58"/>
      <c r="D968" s="21"/>
    </row>
    <row r="969">
      <c r="A969" s="58"/>
      <c r="D969" s="21"/>
    </row>
    <row r="970">
      <c r="A970" s="58"/>
      <c r="D970" s="21"/>
    </row>
    <row r="971">
      <c r="A971" s="58"/>
      <c r="D971" s="21"/>
    </row>
    <row r="972">
      <c r="A972" s="58"/>
      <c r="D972" s="21"/>
    </row>
    <row r="973">
      <c r="A973" s="58"/>
      <c r="D973" s="21"/>
    </row>
    <row r="974">
      <c r="A974" s="58"/>
      <c r="D974" s="21"/>
    </row>
    <row r="975">
      <c r="A975" s="58"/>
      <c r="D975" s="21"/>
    </row>
    <row r="976">
      <c r="A976" s="58"/>
      <c r="D976" s="21"/>
    </row>
    <row r="977">
      <c r="A977" s="58"/>
      <c r="D977" s="21"/>
    </row>
    <row r="978">
      <c r="A978" s="58"/>
      <c r="D978" s="21"/>
    </row>
    <row r="979">
      <c r="A979" s="58"/>
      <c r="D979" s="21"/>
    </row>
    <row r="980">
      <c r="A980" s="58"/>
      <c r="D980" s="21"/>
    </row>
    <row r="981">
      <c r="A981" s="58"/>
      <c r="D981" s="21"/>
    </row>
    <row r="982">
      <c r="A982" s="58"/>
      <c r="D982" s="21"/>
    </row>
    <row r="983">
      <c r="A983" s="58"/>
      <c r="D983" s="21"/>
    </row>
    <row r="984">
      <c r="A984" s="58"/>
      <c r="D984" s="21"/>
    </row>
    <row r="985">
      <c r="A985" s="58"/>
      <c r="D985" s="21"/>
    </row>
    <row r="986">
      <c r="A986" s="58"/>
      <c r="D986" s="21"/>
    </row>
    <row r="987">
      <c r="A987" s="58"/>
      <c r="D987" s="21"/>
    </row>
    <row r="988">
      <c r="A988" s="58"/>
      <c r="D988" s="21"/>
    </row>
    <row r="989">
      <c r="A989" s="58"/>
      <c r="D989" s="21"/>
    </row>
    <row r="990">
      <c r="A990" s="58"/>
      <c r="D990" s="21"/>
    </row>
    <row r="991">
      <c r="A991" s="58"/>
      <c r="D991" s="21"/>
    </row>
    <row r="992">
      <c r="A992" s="58"/>
      <c r="D992" s="21"/>
    </row>
    <row r="993">
      <c r="A993" s="58"/>
      <c r="D993" s="21"/>
    </row>
    <row r="994">
      <c r="A994" s="58"/>
      <c r="D994" s="21"/>
    </row>
    <row r="995">
      <c r="A995" s="58"/>
      <c r="D995" s="21"/>
    </row>
    <row r="996">
      <c r="A996" s="58"/>
      <c r="D996" s="21"/>
    </row>
    <row r="997">
      <c r="A997" s="58"/>
      <c r="D997" s="21"/>
    </row>
    <row r="998">
      <c r="A998" s="58"/>
      <c r="D998" s="21"/>
    </row>
    <row r="999">
      <c r="D999" s="21"/>
    </row>
    <row r="1000">
      <c r="D1000" s="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3.25"/>
  </cols>
  <sheetData>
    <row r="1">
      <c r="A1" s="59" t="s">
        <v>0</v>
      </c>
      <c r="B1" s="28" t="s">
        <v>56</v>
      </c>
      <c r="C1" s="63" t="s">
        <v>58</v>
      </c>
      <c r="E1" s="64"/>
      <c r="F1" s="65" t="s">
        <v>59</v>
      </c>
      <c r="H1" s="66"/>
      <c r="I1" s="66"/>
      <c r="J1" s="66"/>
      <c r="K1" s="66"/>
      <c r="L1" s="66"/>
      <c r="M1" s="66"/>
      <c r="N1" s="66"/>
      <c r="O1" s="66"/>
      <c r="P1" s="66"/>
    </row>
    <row r="2">
      <c r="A2" s="54">
        <v>46055.0</v>
      </c>
      <c r="B2" s="21">
        <f>VLOOKUP(A2,'CAPM Regression Data (weekly ex'!A:G,5,0)</f>
        <v>0.06270026189</v>
      </c>
      <c r="C2" s="21">
        <f>vlookup(A2,'CAPM Regression Data (weekly ex'!A:G,7,0)</f>
        <v>-0.001731414655</v>
      </c>
      <c r="E2" s="67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</row>
    <row r="3">
      <c r="A3" s="54">
        <v>46048.0</v>
      </c>
      <c r="B3" s="21">
        <f>VLOOKUP(A3,'CAPM Regression Data (weekly ex'!A:G,5,0)</f>
        <v>0.01248532231</v>
      </c>
      <c r="C3" s="21">
        <f>vlookup(A3,'CAPM Regression Data (weekly ex'!A:G,7,0)</f>
        <v>0.002625003</v>
      </c>
      <c r="E3" s="67"/>
      <c r="F3" s="68" t="s">
        <v>60</v>
      </c>
      <c r="G3" s="69"/>
      <c r="H3" s="66"/>
      <c r="I3" s="66"/>
      <c r="J3" s="66"/>
      <c r="K3" s="66"/>
      <c r="L3" s="66"/>
      <c r="M3" s="66"/>
      <c r="N3" s="66"/>
      <c r="O3" s="66"/>
      <c r="P3" s="66"/>
    </row>
    <row r="4">
      <c r="A4" s="54">
        <v>46041.0</v>
      </c>
      <c r="B4" s="21">
        <f>VLOOKUP(A4,'CAPM Regression Data (weekly ex'!A:G,5,0)</f>
        <v>-0.03757706212</v>
      </c>
      <c r="C4" s="21">
        <f>vlookup(A4,'CAPM Regression Data (weekly ex'!A:G,7,0)</f>
        <v>-0.00427738354</v>
      </c>
      <c r="E4" s="67"/>
      <c r="F4" s="65" t="s">
        <v>61</v>
      </c>
      <c r="G4" s="65">
        <v>0.00251238323974806</v>
      </c>
      <c r="J4" s="66"/>
      <c r="K4" s="66"/>
      <c r="L4" s="66"/>
      <c r="M4" s="66"/>
      <c r="N4" s="66"/>
      <c r="O4" s="66"/>
      <c r="P4" s="66"/>
    </row>
    <row r="5">
      <c r="A5" s="54">
        <v>46034.0</v>
      </c>
      <c r="B5" s="21">
        <f>VLOOKUP(A5,'CAPM Regression Data (weekly ex'!A:G,5,0)</f>
        <v>-0.003015881387</v>
      </c>
      <c r="C5" s="21">
        <f>vlookup(A5,'CAPM Regression Data (weekly ex'!A:G,7,0)</f>
        <v>-0.004532561159</v>
      </c>
      <c r="E5" s="67"/>
      <c r="F5" s="65" t="s">
        <v>62</v>
      </c>
      <c r="G5" s="65">
        <v>6.31206954336696E-6</v>
      </c>
      <c r="J5" s="66"/>
      <c r="K5" s="66"/>
      <c r="L5" s="66"/>
      <c r="M5" s="66"/>
      <c r="N5" s="66"/>
      <c r="O5" s="66"/>
      <c r="P5" s="66"/>
    </row>
    <row r="6">
      <c r="A6" s="54">
        <v>46027.0</v>
      </c>
      <c r="B6" s="21">
        <f>VLOOKUP(A6,'CAPM Regression Data (weekly ex'!A:G,5,0)</f>
        <v>-0.04305262304</v>
      </c>
      <c r="C6" s="21">
        <f>vlookup(A6,'CAPM Regression Data (weekly ex'!A:G,7,0)</f>
        <v>0.01495771088</v>
      </c>
      <c r="D6" s="39"/>
      <c r="E6" s="67"/>
      <c r="F6" s="65" t="s">
        <v>63</v>
      </c>
      <c r="G6" s="65">
        <v>-0.0199935616890658</v>
      </c>
      <c r="J6" s="66"/>
      <c r="K6" s="66"/>
      <c r="L6" s="66"/>
      <c r="M6" s="66"/>
      <c r="N6" s="66"/>
      <c r="O6" s="66"/>
      <c r="P6" s="66"/>
    </row>
    <row r="7">
      <c r="A7" s="54">
        <v>46020.0</v>
      </c>
      <c r="B7" s="21">
        <f>VLOOKUP(A7,'CAPM Regression Data (weekly ex'!A:G,5,0)</f>
        <v>0.0109306111</v>
      </c>
      <c r="C7" s="21">
        <f>vlookup(A7,'CAPM Regression Data (weekly ex'!A:G,7,0)</f>
        <v>-0.01107475907</v>
      </c>
      <c r="E7" s="67"/>
      <c r="F7" s="65" t="s">
        <v>64</v>
      </c>
      <c r="G7" s="65">
        <v>0.0355240964771133</v>
      </c>
      <c r="J7" s="66"/>
      <c r="K7" s="66"/>
      <c r="L7" s="66"/>
      <c r="M7" s="66"/>
      <c r="N7" s="66"/>
      <c r="O7" s="66"/>
      <c r="P7" s="66"/>
    </row>
    <row r="8">
      <c r="A8" s="54">
        <v>46013.0</v>
      </c>
      <c r="B8" s="21">
        <f>VLOOKUP(A8,'CAPM Regression Data (weekly ex'!A:G,5,0)</f>
        <v>-0.01294582581</v>
      </c>
      <c r="C8" s="21">
        <f>vlookup(A8,'CAPM Regression Data (weekly ex'!A:G,7,0)</f>
        <v>0.01320290663</v>
      </c>
      <c r="E8" s="67"/>
      <c r="F8" s="70" t="s">
        <v>65</v>
      </c>
      <c r="G8" s="71">
        <v>52.0</v>
      </c>
      <c r="H8" s="66"/>
      <c r="I8" s="66"/>
      <c r="J8" s="66"/>
      <c r="K8" s="66"/>
      <c r="L8" s="66"/>
      <c r="M8" s="66"/>
      <c r="N8" s="66"/>
      <c r="O8" s="66"/>
      <c r="P8" s="66"/>
    </row>
    <row r="9">
      <c r="A9" s="54">
        <v>46006.0</v>
      </c>
      <c r="B9" s="21">
        <f>VLOOKUP(A9,'CAPM Regression Data (weekly ex'!A:G,5,0)</f>
        <v>0.01001460009</v>
      </c>
      <c r="C9" s="21">
        <f>vlookup(A9,'CAPM Regression Data (weekly ex'!A:G,7,0)</f>
        <v>0.0002769226826</v>
      </c>
      <c r="E9" s="67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</row>
    <row r="10">
      <c r="A10" s="54">
        <v>45999.0</v>
      </c>
      <c r="B10" s="21">
        <f>VLOOKUP(A10,'CAPM Regression Data (weekly ex'!A:G,5,0)</f>
        <v>-0.01179934612</v>
      </c>
      <c r="C10" s="21">
        <f>vlookup(A10,'CAPM Regression Data (weekly ex'!A:G,7,0)</f>
        <v>-0.007018816058</v>
      </c>
      <c r="E10" s="67"/>
      <c r="F10" s="65" t="s">
        <v>66</v>
      </c>
      <c r="I10" s="66"/>
      <c r="J10" s="66"/>
      <c r="K10" s="66"/>
      <c r="L10" s="66"/>
      <c r="M10" s="66"/>
      <c r="N10" s="66"/>
      <c r="O10" s="66"/>
      <c r="P10" s="66"/>
    </row>
    <row r="11">
      <c r="A11" s="54">
        <v>45992.0</v>
      </c>
      <c r="B11" s="21">
        <f>VLOOKUP(A11,'CAPM Regression Data (weekly ex'!A:G,5,0)</f>
        <v>-0.01341342372</v>
      </c>
      <c r="C11" s="21">
        <f>vlookup(A11,'CAPM Regression Data (weekly ex'!A:G,7,0)</f>
        <v>0.002349823778</v>
      </c>
      <c r="E11" s="67"/>
      <c r="F11" s="72"/>
      <c r="G11" s="68" t="s">
        <v>67</v>
      </c>
      <c r="H11" s="68" t="s">
        <v>68</v>
      </c>
      <c r="I11" s="68" t="s">
        <v>69</v>
      </c>
      <c r="J11" s="68" t="s">
        <v>70</v>
      </c>
      <c r="K11" s="68" t="s">
        <v>71</v>
      </c>
      <c r="L11" s="66"/>
      <c r="M11" s="66"/>
      <c r="N11" s="66"/>
      <c r="O11" s="66"/>
      <c r="P11" s="66"/>
    </row>
    <row r="12">
      <c r="A12" s="54">
        <v>45985.0</v>
      </c>
      <c r="B12" s="21">
        <f>VLOOKUP(A12,'CAPM Regression Data (weekly ex'!A:G,5,0)</f>
        <v>-0.01239952286</v>
      </c>
      <c r="C12" s="21">
        <f>vlookup(A12,'CAPM Regression Data (weekly ex'!A:G,7,0)</f>
        <v>0.03650945544</v>
      </c>
      <c r="E12" s="67"/>
      <c r="F12" s="65" t="s">
        <v>72</v>
      </c>
      <c r="G12" s="73">
        <v>1.0</v>
      </c>
      <c r="H12" s="65">
        <v>3.98281929506195E-7</v>
      </c>
      <c r="I12" s="65">
        <v>3.98281929506195E-7</v>
      </c>
      <c r="J12" s="65">
        <v>3.15605469292019E-4</v>
      </c>
      <c r="K12" s="65">
        <v>0.985896799066583</v>
      </c>
      <c r="M12" s="66"/>
      <c r="N12" s="66"/>
      <c r="O12" s="66"/>
      <c r="P12" s="66"/>
    </row>
    <row r="13">
      <c r="A13" s="54">
        <v>45978.0</v>
      </c>
      <c r="B13" s="21">
        <f>VLOOKUP(A13,'CAPM Regression Data (weekly ex'!A:G,5,0)</f>
        <v>0.004966266295</v>
      </c>
      <c r="C13" s="21">
        <f>vlookup(A13,'CAPM Regression Data (weekly ex'!A:G,7,0)</f>
        <v>-0.02023255987</v>
      </c>
      <c r="E13" s="67"/>
      <c r="F13" s="65" t="s">
        <v>73</v>
      </c>
      <c r="G13" s="73">
        <v>50.0</v>
      </c>
      <c r="H13" s="65">
        <v>0.0630980715257628</v>
      </c>
      <c r="I13" s="65">
        <v>0.00126196143051526</v>
      </c>
      <c r="L13" s="66"/>
      <c r="M13" s="66"/>
      <c r="N13" s="66"/>
      <c r="O13" s="66"/>
      <c r="P13" s="66"/>
    </row>
    <row r="14">
      <c r="A14" s="54">
        <v>45971.0</v>
      </c>
      <c r="B14" s="21">
        <f>VLOOKUP(A14,'CAPM Regression Data (weekly ex'!A:G,5,0)</f>
        <v>0.01427890643</v>
      </c>
      <c r="C14" s="21">
        <f>vlookup(A14,'CAPM Regression Data (weekly ex'!A:G,7,0)</f>
        <v>0.0000276067055</v>
      </c>
      <c r="E14" s="67"/>
      <c r="F14" s="70" t="s">
        <v>74</v>
      </c>
      <c r="G14" s="71">
        <v>51.0</v>
      </c>
      <c r="H14" s="70">
        <v>0.0630984698076923</v>
      </c>
      <c r="I14" s="74"/>
      <c r="J14" s="74"/>
      <c r="K14" s="75"/>
      <c r="L14" s="66"/>
      <c r="M14" s="66"/>
      <c r="N14" s="66"/>
      <c r="O14" s="66"/>
      <c r="P14" s="66"/>
    </row>
    <row r="15">
      <c r="A15" s="54">
        <v>45964.0</v>
      </c>
      <c r="B15" s="21">
        <f>VLOOKUP(A15,'CAPM Regression Data (weekly ex'!A:G,5,0)</f>
        <v>0.02837477788</v>
      </c>
      <c r="C15" s="21">
        <f>vlookup(A15,'CAPM Regression Data (weekly ex'!A:G,7,0)</f>
        <v>-0.01704761197</v>
      </c>
      <c r="E15" s="67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</row>
    <row r="16">
      <c r="A16" s="54">
        <v>45957.0</v>
      </c>
      <c r="B16" s="21">
        <f>VLOOKUP(A16,'CAPM Regression Data (weekly ex'!A:G,5,0)</f>
        <v>-0.04108109907</v>
      </c>
      <c r="C16" s="21">
        <f>vlookup(A16,'CAPM Regression Data (weekly ex'!A:G,7,0)</f>
        <v>0.006381013687</v>
      </c>
      <c r="E16" s="67"/>
      <c r="F16" s="72"/>
      <c r="G16" s="68" t="s">
        <v>75</v>
      </c>
      <c r="H16" s="68" t="s">
        <v>64</v>
      </c>
      <c r="I16" s="68" t="s">
        <v>76</v>
      </c>
      <c r="J16" s="68" t="s">
        <v>77</v>
      </c>
      <c r="K16" s="68" t="s">
        <v>78</v>
      </c>
      <c r="L16" s="68" t="s">
        <v>79</v>
      </c>
      <c r="M16" s="68" t="s">
        <v>80</v>
      </c>
      <c r="N16" s="68" t="s">
        <v>81</v>
      </c>
      <c r="O16" s="66"/>
      <c r="P16" s="66"/>
    </row>
    <row r="17">
      <c r="A17" s="54">
        <v>45950.0</v>
      </c>
      <c r="B17" s="21">
        <f>VLOOKUP(A17,'CAPM Regression Data (weekly ex'!A:G,5,0)</f>
        <v>-0.05640223161</v>
      </c>
      <c r="C17" s="21">
        <f>vlookup(A17,'CAPM Regression Data (weekly ex'!A:G,7,0)</f>
        <v>0.01839809665</v>
      </c>
      <c r="E17" s="67"/>
      <c r="F17" s="65" t="s">
        <v>82</v>
      </c>
      <c r="G17" s="65">
        <v>6.39766956535159E-4</v>
      </c>
      <c r="H17" s="65">
        <v>0.00494846364338939</v>
      </c>
      <c r="I17" s="65">
        <v>0.129285976949597</v>
      </c>
      <c r="J17" s="65">
        <v>0.897650053239222</v>
      </c>
      <c r="K17" s="65">
        <v>-0.00929951478529393</v>
      </c>
      <c r="L17" s="65">
        <v>0.0105790486983642</v>
      </c>
      <c r="M17" s="65">
        <v>-0.00929951478529393</v>
      </c>
      <c r="N17" s="65">
        <v>0.0105790486983642</v>
      </c>
    </row>
    <row r="18">
      <c r="A18" s="54">
        <v>45943.0</v>
      </c>
      <c r="B18" s="21">
        <f>VLOOKUP(A18,'CAPM Regression Data (weekly ex'!A:G,5,0)</f>
        <v>0.1211800037</v>
      </c>
      <c r="C18" s="21">
        <f>vlookup(A18,'CAPM Regression Data (weekly ex'!A:G,7,0)</f>
        <v>0.01625484152</v>
      </c>
      <c r="E18" s="67"/>
      <c r="F18" s="70" t="s">
        <v>83</v>
      </c>
      <c r="G18" s="70">
        <v>0.00376409634295906</v>
      </c>
      <c r="H18" s="70">
        <v>0.211879271192474</v>
      </c>
      <c r="I18" s="70">
        <v>0.0177652883256319</v>
      </c>
      <c r="J18" s="70">
        <v>0.985896799066565</v>
      </c>
      <c r="K18" s="70">
        <v>-0.421807944475952</v>
      </c>
      <c r="L18" s="70">
        <v>0.429336137161871</v>
      </c>
      <c r="M18" s="70">
        <v>-0.421807944475952</v>
      </c>
      <c r="N18" s="70">
        <v>0.429336137161871</v>
      </c>
      <c r="O18" s="66"/>
      <c r="P18" s="66"/>
    </row>
    <row r="19">
      <c r="A19" s="54">
        <v>45936.0</v>
      </c>
      <c r="B19" s="21">
        <f>VLOOKUP(A19,'CAPM Regression Data (weekly ex'!A:G,5,0)</f>
        <v>0.01824115696</v>
      </c>
      <c r="C19" s="21">
        <f>vlookup(A19,'CAPM Regression Data (weekly ex'!A:G,7,0)</f>
        <v>-0.02507438922</v>
      </c>
    </row>
    <row r="20">
      <c r="A20" s="54">
        <v>45929.0</v>
      </c>
      <c r="B20" s="21">
        <f>VLOOKUP(A20,'CAPM Regression Data (weekly ex'!A:G,5,0)</f>
        <v>0.04225223719</v>
      </c>
      <c r="C20" s="21">
        <f>vlookup(A20,'CAPM Regression Data (weekly ex'!A:G,7,0)</f>
        <v>0.01008934282</v>
      </c>
    </row>
    <row r="21">
      <c r="A21" s="54">
        <v>45922.0</v>
      </c>
      <c r="B21" s="21">
        <f>VLOOKUP(A21,'CAPM Regression Data (weekly ex'!A:G,5,0)</f>
        <v>-0.01843621397</v>
      </c>
      <c r="C21" s="21">
        <f>vlookup(A21,'CAPM Regression Data (weekly ex'!A:G,7,0)</f>
        <v>-0.003861611087</v>
      </c>
    </row>
    <row r="22">
      <c r="A22" s="54">
        <v>45915.0</v>
      </c>
      <c r="B22" s="21">
        <f>VLOOKUP(A22,'CAPM Regression Data (weekly ex'!A:G,5,0)</f>
        <v>-0.008434873622</v>
      </c>
      <c r="C22" s="21">
        <f>vlookup(A22,'CAPM Regression Data (weekly ex'!A:G,7,0)</f>
        <v>0.01139922602</v>
      </c>
    </row>
    <row r="23">
      <c r="A23" s="54">
        <v>45908.0</v>
      </c>
      <c r="B23" s="21">
        <f>VLOOKUP(A23,'CAPM Regression Data (weekly ex'!A:G,5,0)</f>
        <v>-0.03298538145</v>
      </c>
      <c r="C23" s="21">
        <f>vlookup(A23,'CAPM Regression Data (weekly ex'!A:G,7,0)</f>
        <v>0.0150974448</v>
      </c>
    </row>
    <row r="24">
      <c r="A24" s="54">
        <v>45901.0</v>
      </c>
      <c r="B24" s="21">
        <f>VLOOKUP(A24,'CAPM Regression Data (weekly ex'!A:G,5,0)</f>
        <v>-0.0004962512882</v>
      </c>
      <c r="C24" s="21">
        <f>vlookup(A24,'CAPM Regression Data (weekly ex'!A:G,7,0)</f>
        <v>0.002526254909</v>
      </c>
    </row>
    <row r="25">
      <c r="A25" s="54">
        <v>45894.0</v>
      </c>
      <c r="B25" s="21">
        <f>VLOOKUP(A25,'CAPM Regression Data (weekly ex'!A:G,5,0)</f>
        <v>-0.0003634492896</v>
      </c>
      <c r="C25" s="21">
        <f>vlookup(A25,'CAPM Regression Data (weekly ex'!A:G,7,0)</f>
        <v>-0.001789850283</v>
      </c>
    </row>
    <row r="26">
      <c r="A26" s="54">
        <v>45887.0</v>
      </c>
      <c r="B26" s="21">
        <f>VLOOKUP(A26,'CAPM Regression Data (weekly ex'!A:G,5,0)</f>
        <v>0.04098576593</v>
      </c>
      <c r="C26" s="21">
        <f>vlookup(A26,'CAPM Regression Data (weekly ex'!A:G,7,0)</f>
        <v>0.001891256974</v>
      </c>
    </row>
    <row r="27">
      <c r="A27" s="54">
        <v>45880.0</v>
      </c>
      <c r="B27" s="21">
        <f>VLOOKUP(A27,'CAPM Regression Data (weekly ex'!A:G,5,0)</f>
        <v>0.002567171663</v>
      </c>
      <c r="C27" s="21">
        <f>vlookup(A27,'CAPM Regression Data (weekly ex'!A:G,7,0)</f>
        <v>0.008683718955</v>
      </c>
    </row>
    <row r="28">
      <c r="A28" s="54">
        <v>45873.0</v>
      </c>
      <c r="B28" s="21">
        <f>VLOOKUP(A28,'CAPM Regression Data (weekly ex'!A:G,5,0)</f>
        <v>0.01330315915</v>
      </c>
      <c r="C28" s="21">
        <f>vlookup(A28,'CAPM Regression Data (weekly ex'!A:G,7,0)</f>
        <v>0.02351543448</v>
      </c>
    </row>
    <row r="29">
      <c r="A29" s="54">
        <v>45866.0</v>
      </c>
      <c r="B29" s="21">
        <f>VLOOKUP(A29,'CAPM Regression Data (weekly ex'!A:G,5,0)</f>
        <v>-0.03103977087</v>
      </c>
      <c r="C29" s="21">
        <f>vlookup(A29,'CAPM Regression Data (weekly ex'!A:G,7,0)</f>
        <v>-0.02433932654</v>
      </c>
    </row>
    <row r="30">
      <c r="A30" s="54">
        <v>45859.0</v>
      </c>
      <c r="B30" s="21">
        <f>VLOOKUP(A30,'CAPM Regression Data (weekly ex'!A:G,5,0)</f>
        <v>-0.05737502276</v>
      </c>
      <c r="C30" s="21">
        <f>vlookup(A30,'CAPM Regression Data (weekly ex'!A:G,7,0)</f>
        <v>0.01382525894</v>
      </c>
    </row>
    <row r="31">
      <c r="A31" s="54">
        <v>45852.0</v>
      </c>
      <c r="B31" s="21">
        <f>VLOOKUP(A31,'CAPM Regression Data (weekly ex'!A:G,5,0)</f>
        <v>0.008720212415</v>
      </c>
      <c r="C31" s="21">
        <f>vlookup(A31,'CAPM Regression Data (weekly ex'!A:G,7,0)</f>
        <v>0.005155630754</v>
      </c>
    </row>
    <row r="32">
      <c r="A32" s="54">
        <v>45845.0</v>
      </c>
      <c r="B32" s="21">
        <f>VLOOKUP(A32,'CAPM Regression Data (weekly ex'!A:G,5,0)</f>
        <v>-0.02952399589</v>
      </c>
      <c r="C32" s="21">
        <f>vlookup(A32,'CAPM Regression Data (weekly ex'!A:G,7,0)</f>
        <v>-0.003882880639</v>
      </c>
    </row>
    <row r="33">
      <c r="A33" s="54">
        <v>45838.0</v>
      </c>
      <c r="B33" s="21">
        <f>VLOOKUP(A33,'CAPM Regression Data (weekly ex'!A:G,5,0)</f>
        <v>-0.001013777079</v>
      </c>
      <c r="C33" s="21">
        <f>vlookup(A33,'CAPM Regression Data (weekly ex'!A:G,7,0)</f>
        <v>0.01645517867</v>
      </c>
    </row>
    <row r="34">
      <c r="A34" s="54">
        <v>45831.0</v>
      </c>
      <c r="B34" s="21">
        <f>VLOOKUP(A34,'CAPM Regression Data (weekly ex'!A:G,5,0)</f>
        <v>-0.02835535745</v>
      </c>
      <c r="C34" s="21">
        <f>vlookup(A34,'CAPM Regression Data (weekly ex'!A:G,7,0)</f>
        <v>0.03362778833</v>
      </c>
    </row>
    <row r="35">
      <c r="A35" s="54">
        <v>45824.0</v>
      </c>
      <c r="B35" s="21">
        <f>VLOOKUP(A35,'CAPM Regression Data (weekly ex'!A:G,5,0)</f>
        <v>-0.03292771057</v>
      </c>
      <c r="C35" s="21">
        <f>vlookup(A35,'CAPM Regression Data (weekly ex'!A:G,7,0)</f>
        <v>-0.002289068297</v>
      </c>
    </row>
    <row r="36">
      <c r="A36" s="54">
        <v>45817.0</v>
      </c>
      <c r="B36" s="21">
        <f>VLOOKUP(A36,'CAPM Regression Data (weekly ex'!A:G,5,0)</f>
        <v>-0.02901990063</v>
      </c>
      <c r="C36" s="21">
        <f>vlookup(A36,'CAPM Regression Data (weekly ex'!A:G,7,0)</f>
        <v>-0.004659637909</v>
      </c>
    </row>
    <row r="37">
      <c r="A37" s="54">
        <v>45810.0</v>
      </c>
      <c r="B37" s="21">
        <f>VLOOKUP(A37,'CAPM Regression Data (weekly ex'!A:G,5,0)</f>
        <v>-0.01216404701</v>
      </c>
      <c r="C37" s="21">
        <f>vlookup(A37,'CAPM Regression Data (weekly ex'!A:G,7,0)</f>
        <v>0.01423755655</v>
      </c>
    </row>
    <row r="38">
      <c r="A38" s="54">
        <v>45803.0</v>
      </c>
      <c r="B38" s="21">
        <f>VLOOKUP(A38,'CAPM Regression Data (weekly ex'!A:G,5,0)</f>
        <v>-0.01002498175</v>
      </c>
      <c r="C38" s="21">
        <f>vlookup(A38,'CAPM Regression Data (weekly ex'!A:G,7,0)</f>
        <v>0.01800002919</v>
      </c>
    </row>
    <row r="39">
      <c r="A39" s="54">
        <v>45796.0</v>
      </c>
      <c r="B39" s="21">
        <f>VLOOKUP(A39,'CAPM Regression Data (weekly ex'!A:G,5,0)</f>
        <v>0.02282773073</v>
      </c>
      <c r="C39" s="21">
        <f>vlookup(A39,'CAPM Regression Data (weekly ex'!A:G,7,0)</f>
        <v>-0.02686930601</v>
      </c>
    </row>
    <row r="40">
      <c r="A40" s="54">
        <v>45789.0</v>
      </c>
      <c r="B40" s="21">
        <f>VLOOKUP(A40,'CAPM Regression Data (weekly ex'!A:G,5,0)</f>
        <v>-0.01411008381</v>
      </c>
      <c r="C40" s="21">
        <f>vlookup(A40,'CAPM Regression Data (weekly ex'!A:G,7,0)</f>
        <v>0.05197251561</v>
      </c>
    </row>
    <row r="41">
      <c r="A41" s="54">
        <v>45782.0</v>
      </c>
      <c r="B41" s="21">
        <f>VLOOKUP(A41,'CAPM Regression Data (weekly ex'!A:G,5,0)</f>
        <v>-0.0001907622058</v>
      </c>
      <c r="C41" s="21">
        <f>vlookup(A41,'CAPM Regression Data (weekly ex'!A:G,7,0)</f>
        <v>-0.005467280135</v>
      </c>
    </row>
    <row r="42">
      <c r="A42" s="54">
        <v>45775.0</v>
      </c>
      <c r="B42" s="21">
        <f>VLOOKUP(A42,'CAPM Regression Data (weekly ex'!A:G,5,0)</f>
        <v>0.06076069305</v>
      </c>
      <c r="C42" s="21">
        <f>vlookup(A42,'CAPM Regression Data (weekly ex'!A:G,7,0)</f>
        <v>0.02846088023</v>
      </c>
    </row>
    <row r="43">
      <c r="A43" s="54">
        <v>45768.0</v>
      </c>
      <c r="B43" s="21">
        <f>VLOOKUP(A43,'CAPM Regression Data (weekly ex'!A:G,5,0)</f>
        <v>-0.002990038646</v>
      </c>
      <c r="C43" s="21">
        <f>vlookup(A43,'CAPM Regression Data (weekly ex'!A:G,7,0)</f>
        <v>0.04514491089</v>
      </c>
    </row>
    <row r="44">
      <c r="A44" s="54">
        <v>45761.0</v>
      </c>
      <c r="B44" s="21">
        <f>VLOOKUP(A44,'CAPM Regression Data (weekly ex'!A:G,5,0)</f>
        <v>-0.002985083475</v>
      </c>
      <c r="C44" s="21">
        <f>vlookup(A44,'CAPM Regression Data (weekly ex'!A:G,7,0)</f>
        <v>-0.01580061844</v>
      </c>
    </row>
    <row r="45">
      <c r="A45" s="54">
        <v>45754.0</v>
      </c>
      <c r="B45" s="21">
        <f>VLOOKUP(A45,'CAPM Regression Data (weekly ex'!A:G,5,0)</f>
        <v>-0.002980150292</v>
      </c>
      <c r="C45" s="21">
        <f>vlookup(A45,'CAPM Regression Data (weekly ex'!A:G,7,0)</f>
        <v>0.05624978182</v>
      </c>
    </row>
    <row r="46">
      <c r="A46" s="54">
        <v>45747.0</v>
      </c>
      <c r="B46" s="21">
        <f>VLOOKUP(A46,'CAPM Regression Data (weekly ex'!A:G,5,0)</f>
        <v>-0.00297523895</v>
      </c>
      <c r="C46" s="21">
        <f>vlookup(A46,'CAPM Regression Data (weekly ex'!A:G,7,0)</f>
        <v>-0.09158136451</v>
      </c>
    </row>
    <row r="47">
      <c r="A47" s="54">
        <v>45740.0</v>
      </c>
      <c r="B47" s="21">
        <f>VLOOKUP(A47,'CAPM Regression Data (weekly ex'!A:G,5,0)</f>
        <v>-0.002970349304</v>
      </c>
      <c r="C47" s="21">
        <f>vlookup(A47,'CAPM Regression Data (weekly ex'!A:G,7,0)</f>
        <v>-0.01604501142</v>
      </c>
    </row>
    <row r="48">
      <c r="A48" s="54">
        <v>45733.0</v>
      </c>
      <c r="B48" s="21">
        <f>VLOOKUP(A48,'CAPM Regression Data (weekly ex'!A:G,5,0)</f>
        <v>-0.002965481212</v>
      </c>
      <c r="C48" s="21">
        <f>vlookup(A48,'CAPM Regression Data (weekly ex'!A:G,7,0)</f>
        <v>0.004313883515</v>
      </c>
    </row>
    <row r="49">
      <c r="A49" s="54">
        <v>45726.0</v>
      </c>
      <c r="B49" s="21">
        <f>VLOOKUP(A49,'CAPM Regression Data (weekly ex'!A:G,5,0)</f>
        <v>-0.00296063453</v>
      </c>
      <c r="C49" s="21">
        <f>vlookup(A49,'CAPM Regression Data (weekly ex'!A:G,7,0)</f>
        <v>-0.02350945015</v>
      </c>
    </row>
    <row r="50">
      <c r="A50" s="54">
        <v>45719.0</v>
      </c>
      <c r="B50" s="21">
        <f>VLOOKUP(A50,'CAPM Regression Data (weekly ex'!A:G,5,0)</f>
        <v>-0.002955809118</v>
      </c>
      <c r="C50" s="21">
        <f>vlookup(A50,'CAPM Regression Data (weekly ex'!A:G,7,0)</f>
        <v>-0.03171291977</v>
      </c>
    </row>
    <row r="51">
      <c r="A51" s="54">
        <v>45712.0</v>
      </c>
      <c r="B51" s="21">
        <f>VLOOKUP(A51,'CAPM Regression Data (weekly ex'!A:G,5,0)</f>
        <v>-0.002951004836</v>
      </c>
      <c r="C51" s="21">
        <f>vlookup(A51,'CAPM Regression Data (weekly ex'!A:G,7,0)</f>
        <v>-0.01051186816</v>
      </c>
    </row>
    <row r="52">
      <c r="A52" s="54">
        <v>45705.0</v>
      </c>
      <c r="B52" s="21">
        <f>VLOOKUP(A52,'CAPM Regression Data (weekly ex'!A:G,5,0)</f>
        <v>-0.002946221546</v>
      </c>
      <c r="C52" s="21">
        <f>vlookup(A52,'CAPM Regression Data (weekly ex'!A:G,7,0)</f>
        <v>-0.01736107106</v>
      </c>
    </row>
    <row r="53">
      <c r="A53" s="54">
        <v>45698.0</v>
      </c>
      <c r="B53" s="21">
        <f>VLOOKUP(A53,'CAPM Regression Data (weekly ex'!A:G,5,0)</f>
        <v>0.1269771794</v>
      </c>
      <c r="C53" s="21">
        <f>vlookup(A53,'CAPM Regression Data (weekly ex'!A:G,7,0)</f>
        <v>0.01394807772</v>
      </c>
    </row>
    <row r="54">
      <c r="A54" s="54"/>
    </row>
    <row r="55">
      <c r="A55" s="58"/>
    </row>
    <row r="56">
      <c r="A56" s="58"/>
    </row>
    <row r="57">
      <c r="A57" s="58"/>
    </row>
    <row r="58">
      <c r="A58" s="58"/>
    </row>
    <row r="59">
      <c r="A59" s="58"/>
    </row>
    <row r="60">
      <c r="A60" s="58"/>
    </row>
    <row r="61">
      <c r="A61" s="58"/>
    </row>
    <row r="62">
      <c r="A62" s="58"/>
    </row>
    <row r="63">
      <c r="A63" s="58"/>
    </row>
    <row r="64">
      <c r="A64" s="58"/>
    </row>
    <row r="65">
      <c r="A65" s="58"/>
    </row>
    <row r="66">
      <c r="A66" s="58"/>
    </row>
    <row r="67">
      <c r="A67" s="58"/>
    </row>
    <row r="68">
      <c r="A68" s="58"/>
    </row>
    <row r="69">
      <c r="A69" s="58"/>
    </row>
    <row r="70">
      <c r="A70" s="58"/>
    </row>
    <row r="71">
      <c r="A71" s="58"/>
    </row>
    <row r="72">
      <c r="A72" s="58"/>
    </row>
    <row r="73">
      <c r="A73" s="58"/>
    </row>
    <row r="74">
      <c r="A74" s="58"/>
    </row>
    <row r="75">
      <c r="A75" s="58"/>
    </row>
    <row r="76">
      <c r="A76" s="58"/>
    </row>
    <row r="77">
      <c r="A77" s="58"/>
    </row>
    <row r="78">
      <c r="A78" s="58"/>
    </row>
    <row r="79">
      <c r="A79" s="58"/>
    </row>
    <row r="80">
      <c r="A80" s="58"/>
    </row>
    <row r="81">
      <c r="A81" s="58"/>
    </row>
    <row r="82">
      <c r="A82" s="58"/>
    </row>
    <row r="83">
      <c r="A83" s="58"/>
    </row>
    <row r="84">
      <c r="A84" s="58"/>
    </row>
    <row r="85">
      <c r="A85" s="58"/>
    </row>
    <row r="86">
      <c r="A86" s="58"/>
    </row>
    <row r="87">
      <c r="A87" s="58"/>
    </row>
    <row r="88">
      <c r="A88" s="58"/>
    </row>
    <row r="89">
      <c r="A89" s="58"/>
    </row>
    <row r="90">
      <c r="A90" s="58"/>
    </row>
    <row r="91">
      <c r="A91" s="58"/>
    </row>
    <row r="92">
      <c r="A92" s="58"/>
    </row>
    <row r="93">
      <c r="A93" s="58"/>
    </row>
    <row r="94">
      <c r="A94" s="58"/>
    </row>
    <row r="95">
      <c r="A95" s="58"/>
    </row>
    <row r="96">
      <c r="A96" s="58"/>
    </row>
    <row r="97">
      <c r="A97" s="58"/>
    </row>
    <row r="98">
      <c r="A98" s="58"/>
    </row>
    <row r="99">
      <c r="A99" s="58"/>
    </row>
    <row r="100">
      <c r="A100" s="58"/>
    </row>
    <row r="101">
      <c r="A101" s="58"/>
    </row>
    <row r="102">
      <c r="A102" s="58"/>
    </row>
    <row r="103">
      <c r="A103" s="58"/>
    </row>
    <row r="104">
      <c r="A104" s="58"/>
    </row>
    <row r="105">
      <c r="A105" s="58"/>
    </row>
    <row r="106">
      <c r="A106" s="58"/>
    </row>
    <row r="107">
      <c r="A107" s="58"/>
    </row>
    <row r="108">
      <c r="A108" s="58"/>
    </row>
    <row r="109">
      <c r="A109" s="58"/>
    </row>
    <row r="110">
      <c r="A110" s="58"/>
    </row>
    <row r="111">
      <c r="A111" s="58"/>
    </row>
    <row r="112">
      <c r="A112" s="58"/>
    </row>
    <row r="113">
      <c r="A113" s="58"/>
    </row>
    <row r="114">
      <c r="A114" s="58"/>
    </row>
    <row r="115">
      <c r="A115" s="58"/>
    </row>
    <row r="116">
      <c r="A116" s="58"/>
    </row>
    <row r="117">
      <c r="A117" s="58"/>
    </row>
    <row r="118">
      <c r="A118" s="58"/>
    </row>
    <row r="119">
      <c r="A119" s="58"/>
    </row>
    <row r="120">
      <c r="A120" s="58"/>
    </row>
    <row r="121">
      <c r="A121" s="58"/>
    </row>
    <row r="122">
      <c r="A122" s="58"/>
    </row>
    <row r="123">
      <c r="A123" s="58"/>
    </row>
    <row r="124">
      <c r="A124" s="58"/>
    </row>
    <row r="125">
      <c r="A125" s="58"/>
    </row>
    <row r="126">
      <c r="A126" s="58"/>
    </row>
    <row r="127">
      <c r="A127" s="58"/>
    </row>
    <row r="128">
      <c r="A128" s="58"/>
    </row>
    <row r="129">
      <c r="A129" s="58"/>
    </row>
    <row r="130">
      <c r="A130" s="58"/>
    </row>
    <row r="131">
      <c r="A131" s="58"/>
    </row>
    <row r="132">
      <c r="A132" s="58"/>
    </row>
    <row r="133">
      <c r="A133" s="58"/>
    </row>
    <row r="134">
      <c r="A134" s="58"/>
    </row>
    <row r="135">
      <c r="A135" s="58"/>
    </row>
    <row r="136">
      <c r="A136" s="58"/>
    </row>
    <row r="137">
      <c r="A137" s="58"/>
    </row>
    <row r="138">
      <c r="A138" s="58"/>
    </row>
    <row r="139">
      <c r="A139" s="58"/>
    </row>
    <row r="140">
      <c r="A140" s="58"/>
    </row>
    <row r="141">
      <c r="A141" s="58"/>
    </row>
    <row r="142">
      <c r="A142" s="58"/>
    </row>
    <row r="143">
      <c r="A143" s="58"/>
    </row>
    <row r="144">
      <c r="A144" s="58"/>
    </row>
    <row r="145">
      <c r="A145" s="58"/>
    </row>
    <row r="146">
      <c r="A146" s="58"/>
    </row>
    <row r="147">
      <c r="A147" s="58"/>
    </row>
    <row r="148">
      <c r="A148" s="58"/>
    </row>
    <row r="149">
      <c r="A149" s="58"/>
    </row>
    <row r="150">
      <c r="A150" s="58"/>
    </row>
    <row r="151">
      <c r="A151" s="58"/>
    </row>
    <row r="152">
      <c r="A152" s="58"/>
    </row>
    <row r="153">
      <c r="A153" s="58"/>
    </row>
    <row r="154">
      <c r="A154" s="58"/>
    </row>
    <row r="155">
      <c r="A155" s="58"/>
    </row>
    <row r="156">
      <c r="A156" s="58"/>
    </row>
    <row r="157">
      <c r="A157" s="58"/>
    </row>
    <row r="158">
      <c r="A158" s="58"/>
    </row>
    <row r="159">
      <c r="A159" s="58"/>
    </row>
    <row r="160">
      <c r="A160" s="58"/>
    </row>
    <row r="161">
      <c r="A161" s="58"/>
    </row>
    <row r="162">
      <c r="A162" s="58"/>
    </row>
    <row r="163">
      <c r="A163" s="58"/>
    </row>
    <row r="164">
      <c r="A164" s="58"/>
    </row>
    <row r="165">
      <c r="A165" s="58"/>
    </row>
    <row r="166">
      <c r="A166" s="58"/>
    </row>
    <row r="167">
      <c r="A167" s="58"/>
    </row>
    <row r="168">
      <c r="A168" s="58"/>
    </row>
    <row r="169">
      <c r="A169" s="58"/>
    </row>
    <row r="170">
      <c r="A170" s="58"/>
    </row>
    <row r="171">
      <c r="A171" s="58"/>
    </row>
    <row r="172">
      <c r="A172" s="58"/>
    </row>
    <row r="173">
      <c r="A173" s="58"/>
    </row>
    <row r="174">
      <c r="A174" s="58"/>
    </row>
    <row r="175">
      <c r="A175" s="58"/>
    </row>
    <row r="176">
      <c r="A176" s="58"/>
    </row>
    <row r="177">
      <c r="A177" s="58"/>
    </row>
    <row r="178">
      <c r="A178" s="58"/>
    </row>
    <row r="179">
      <c r="A179" s="58"/>
    </row>
    <row r="180">
      <c r="A180" s="58"/>
    </row>
    <row r="181">
      <c r="A181" s="58"/>
    </row>
    <row r="182">
      <c r="A182" s="58"/>
    </row>
    <row r="183">
      <c r="A183" s="58"/>
    </row>
    <row r="184">
      <c r="A184" s="58"/>
    </row>
    <row r="185">
      <c r="A185" s="58"/>
    </row>
    <row r="186">
      <c r="A186" s="58"/>
    </row>
    <row r="187">
      <c r="A187" s="58"/>
    </row>
    <row r="188">
      <c r="A188" s="58"/>
    </row>
    <row r="189">
      <c r="A189" s="58"/>
    </row>
    <row r="190">
      <c r="A190" s="58"/>
    </row>
    <row r="191">
      <c r="A191" s="58"/>
    </row>
    <row r="192">
      <c r="A192" s="58"/>
    </row>
    <row r="193">
      <c r="A193" s="58"/>
    </row>
    <row r="194">
      <c r="A194" s="58"/>
    </row>
    <row r="195">
      <c r="A195" s="58"/>
    </row>
    <row r="196">
      <c r="A196" s="58"/>
    </row>
    <row r="197">
      <c r="A197" s="58"/>
    </row>
    <row r="198">
      <c r="A198" s="58"/>
    </row>
    <row r="199">
      <c r="A199" s="58"/>
    </row>
    <row r="200">
      <c r="A200" s="58"/>
    </row>
    <row r="201">
      <c r="A201" s="58"/>
    </row>
    <row r="202">
      <c r="A202" s="58"/>
    </row>
    <row r="203">
      <c r="A203" s="58"/>
    </row>
    <row r="204">
      <c r="A204" s="58"/>
    </row>
    <row r="205">
      <c r="A205" s="58"/>
    </row>
    <row r="206">
      <c r="A206" s="58"/>
    </row>
    <row r="207">
      <c r="A207" s="58"/>
    </row>
    <row r="208">
      <c r="A208" s="58"/>
    </row>
    <row r="209">
      <c r="A209" s="58"/>
    </row>
    <row r="210">
      <c r="A210" s="58"/>
    </row>
    <row r="211">
      <c r="A211" s="58"/>
    </row>
    <row r="212">
      <c r="A212" s="58"/>
    </row>
    <row r="213">
      <c r="A213" s="58"/>
    </row>
    <row r="214">
      <c r="A214" s="58"/>
    </row>
    <row r="215">
      <c r="A215" s="58"/>
    </row>
    <row r="216">
      <c r="A216" s="58"/>
    </row>
    <row r="217">
      <c r="A217" s="58"/>
    </row>
    <row r="218">
      <c r="A218" s="58"/>
    </row>
    <row r="219">
      <c r="A219" s="58"/>
    </row>
    <row r="220">
      <c r="A220" s="58"/>
    </row>
    <row r="221">
      <c r="A221" s="58"/>
    </row>
    <row r="222">
      <c r="A222" s="58"/>
    </row>
    <row r="223">
      <c r="A223" s="58"/>
    </row>
    <row r="224">
      <c r="A224" s="58"/>
    </row>
    <row r="225">
      <c r="A225" s="58"/>
    </row>
    <row r="226">
      <c r="A226" s="58"/>
    </row>
    <row r="227">
      <c r="A227" s="58"/>
    </row>
    <row r="228">
      <c r="A228" s="58"/>
    </row>
    <row r="229">
      <c r="A229" s="58"/>
    </row>
    <row r="230">
      <c r="A230" s="58"/>
    </row>
    <row r="231">
      <c r="A231" s="58"/>
    </row>
    <row r="232">
      <c r="A232" s="58"/>
    </row>
    <row r="233">
      <c r="A233" s="58"/>
    </row>
    <row r="234">
      <c r="A234" s="58"/>
    </row>
    <row r="235">
      <c r="A235" s="58"/>
    </row>
    <row r="236">
      <c r="A236" s="58"/>
    </row>
    <row r="237">
      <c r="A237" s="58"/>
    </row>
    <row r="238">
      <c r="A238" s="58"/>
    </row>
    <row r="239">
      <c r="A239" s="58"/>
    </row>
    <row r="240">
      <c r="A240" s="58"/>
    </row>
    <row r="241">
      <c r="A241" s="58"/>
    </row>
    <row r="242">
      <c r="A242" s="58"/>
    </row>
    <row r="243">
      <c r="A243" s="58"/>
    </row>
    <row r="244">
      <c r="A244" s="58"/>
    </row>
    <row r="245">
      <c r="A245" s="58"/>
    </row>
    <row r="246">
      <c r="A246" s="58"/>
    </row>
    <row r="247">
      <c r="A247" s="58"/>
    </row>
    <row r="248">
      <c r="A248" s="58"/>
    </row>
    <row r="249">
      <c r="A249" s="58"/>
    </row>
    <row r="250">
      <c r="A250" s="58"/>
    </row>
    <row r="251">
      <c r="A251" s="58"/>
    </row>
    <row r="252">
      <c r="A252" s="58"/>
    </row>
    <row r="253">
      <c r="A253" s="58"/>
    </row>
    <row r="254">
      <c r="A254" s="58"/>
    </row>
    <row r="255">
      <c r="A255" s="58"/>
    </row>
    <row r="256">
      <c r="A256" s="58"/>
    </row>
    <row r="257">
      <c r="A257" s="58"/>
    </row>
    <row r="258">
      <c r="A258" s="58"/>
    </row>
    <row r="259">
      <c r="A259" s="58"/>
    </row>
    <row r="260">
      <c r="A260" s="58"/>
    </row>
    <row r="261">
      <c r="A261" s="58"/>
    </row>
    <row r="262">
      <c r="A262" s="58"/>
    </row>
    <row r="263">
      <c r="A263" s="58"/>
    </row>
    <row r="264">
      <c r="A264" s="58"/>
    </row>
    <row r="265">
      <c r="A265" s="58"/>
    </row>
    <row r="266">
      <c r="A266" s="58"/>
    </row>
    <row r="267">
      <c r="A267" s="58"/>
    </row>
    <row r="268">
      <c r="A268" s="58"/>
    </row>
    <row r="269">
      <c r="A269" s="58"/>
    </row>
    <row r="270">
      <c r="A270" s="58"/>
    </row>
    <row r="271">
      <c r="A271" s="58"/>
    </row>
    <row r="272">
      <c r="A272" s="58"/>
    </row>
    <row r="273">
      <c r="A273" s="58"/>
    </row>
    <row r="274">
      <c r="A274" s="58"/>
    </row>
    <row r="275">
      <c r="A275" s="58"/>
    </row>
    <row r="276">
      <c r="A276" s="58"/>
    </row>
    <row r="277">
      <c r="A277" s="58"/>
    </row>
    <row r="278">
      <c r="A278" s="58"/>
    </row>
    <row r="279">
      <c r="A279" s="58"/>
    </row>
    <row r="280">
      <c r="A280" s="58"/>
    </row>
    <row r="281">
      <c r="A281" s="58"/>
    </row>
    <row r="282">
      <c r="A282" s="58"/>
    </row>
    <row r="283">
      <c r="A283" s="58"/>
    </row>
    <row r="284">
      <c r="A284" s="58"/>
    </row>
    <row r="285">
      <c r="A285" s="58"/>
    </row>
    <row r="286">
      <c r="A286" s="58"/>
    </row>
    <row r="287">
      <c r="A287" s="58"/>
    </row>
    <row r="288">
      <c r="A288" s="58"/>
    </row>
    <row r="289">
      <c r="A289" s="58"/>
    </row>
    <row r="290">
      <c r="A290" s="58"/>
    </row>
    <row r="291">
      <c r="A291" s="58"/>
    </row>
    <row r="292">
      <c r="A292" s="58"/>
    </row>
    <row r="293">
      <c r="A293" s="58"/>
    </row>
    <row r="294">
      <c r="A294" s="58"/>
    </row>
    <row r="295">
      <c r="A295" s="58"/>
    </row>
    <row r="296">
      <c r="A296" s="58"/>
    </row>
    <row r="297">
      <c r="A297" s="58"/>
    </row>
    <row r="298">
      <c r="A298" s="58"/>
    </row>
    <row r="299">
      <c r="A299" s="58"/>
    </row>
    <row r="300">
      <c r="A300" s="58"/>
    </row>
    <row r="301">
      <c r="A301" s="58"/>
    </row>
    <row r="302">
      <c r="A302" s="58"/>
    </row>
    <row r="303">
      <c r="A303" s="58"/>
    </row>
    <row r="304">
      <c r="A304" s="58"/>
    </row>
    <row r="305">
      <c r="A305" s="58"/>
    </row>
    <row r="306">
      <c r="A306" s="58"/>
    </row>
    <row r="307">
      <c r="A307" s="58"/>
    </row>
    <row r="308">
      <c r="A308" s="58"/>
    </row>
    <row r="309">
      <c r="A309" s="58"/>
    </row>
    <row r="310">
      <c r="A310" s="58"/>
    </row>
    <row r="311">
      <c r="A311" s="58"/>
    </row>
    <row r="312">
      <c r="A312" s="58"/>
    </row>
    <row r="313">
      <c r="A313" s="58"/>
    </row>
    <row r="314">
      <c r="A314" s="58"/>
    </row>
    <row r="315">
      <c r="A315" s="58"/>
    </row>
    <row r="316">
      <c r="A316" s="58"/>
    </row>
    <row r="317">
      <c r="A317" s="58"/>
    </row>
    <row r="318">
      <c r="A318" s="58"/>
    </row>
    <row r="319">
      <c r="A319" s="58"/>
    </row>
    <row r="320">
      <c r="A320" s="58"/>
    </row>
    <row r="321">
      <c r="A321" s="58"/>
    </row>
    <row r="322">
      <c r="A322" s="58"/>
    </row>
    <row r="323">
      <c r="A323" s="58"/>
    </row>
    <row r="324">
      <c r="A324" s="58"/>
    </row>
    <row r="325">
      <c r="A325" s="58"/>
    </row>
    <row r="326">
      <c r="A326" s="58"/>
    </row>
    <row r="327">
      <c r="A327" s="58"/>
    </row>
    <row r="328">
      <c r="A328" s="58"/>
    </row>
    <row r="329">
      <c r="A329" s="58"/>
    </row>
    <row r="330">
      <c r="A330" s="58"/>
    </row>
    <row r="331">
      <c r="A331" s="58"/>
    </row>
    <row r="332">
      <c r="A332" s="58"/>
    </row>
    <row r="333">
      <c r="A333" s="58"/>
    </row>
    <row r="334">
      <c r="A334" s="58"/>
    </row>
    <row r="335">
      <c r="A335" s="58"/>
    </row>
    <row r="336">
      <c r="A336" s="58"/>
    </row>
    <row r="337">
      <c r="A337" s="58"/>
    </row>
    <row r="338">
      <c r="A338" s="58"/>
    </row>
    <row r="339">
      <c r="A339" s="58"/>
    </row>
    <row r="340">
      <c r="A340" s="58"/>
    </row>
    <row r="341">
      <c r="A341" s="58"/>
    </row>
    <row r="342">
      <c r="A342" s="58"/>
    </row>
    <row r="343">
      <c r="A343" s="58"/>
    </row>
    <row r="344">
      <c r="A344" s="58"/>
    </row>
    <row r="345">
      <c r="A345" s="58"/>
    </row>
    <row r="346">
      <c r="A346" s="58"/>
    </row>
    <row r="347">
      <c r="A347" s="58"/>
    </row>
    <row r="348">
      <c r="A348" s="58"/>
    </row>
    <row r="349">
      <c r="A349" s="58"/>
    </row>
    <row r="350">
      <c r="A350" s="58"/>
    </row>
    <row r="351">
      <c r="A351" s="58"/>
    </row>
    <row r="352">
      <c r="A352" s="58"/>
    </row>
    <row r="353">
      <c r="A353" s="58"/>
    </row>
    <row r="354">
      <c r="A354" s="58"/>
    </row>
    <row r="355">
      <c r="A355" s="58"/>
    </row>
    <row r="356">
      <c r="A356" s="58"/>
    </row>
    <row r="357">
      <c r="A357" s="58"/>
    </row>
    <row r="358">
      <c r="A358" s="58"/>
    </row>
    <row r="359">
      <c r="A359" s="58"/>
    </row>
    <row r="360">
      <c r="A360" s="58"/>
    </row>
    <row r="361">
      <c r="A361" s="58"/>
    </row>
    <row r="362">
      <c r="A362" s="58"/>
    </row>
    <row r="363">
      <c r="A363" s="58"/>
    </row>
    <row r="364">
      <c r="A364" s="58"/>
    </row>
    <row r="365">
      <c r="A365" s="58"/>
    </row>
    <row r="366">
      <c r="A366" s="58"/>
    </row>
    <row r="367">
      <c r="A367" s="58"/>
    </row>
    <row r="368">
      <c r="A368" s="58"/>
    </row>
    <row r="369">
      <c r="A369" s="58"/>
    </row>
    <row r="370">
      <c r="A370" s="58"/>
    </row>
    <row r="371">
      <c r="A371" s="58"/>
    </row>
    <row r="372">
      <c r="A372" s="58"/>
    </row>
    <row r="373">
      <c r="A373" s="58"/>
    </row>
    <row r="374">
      <c r="A374" s="58"/>
    </row>
    <row r="375">
      <c r="A375" s="58"/>
    </row>
    <row r="376">
      <c r="A376" s="58"/>
    </row>
    <row r="377">
      <c r="A377" s="58"/>
    </row>
    <row r="378">
      <c r="A378" s="58"/>
    </row>
    <row r="379">
      <c r="A379" s="58"/>
    </row>
    <row r="380">
      <c r="A380" s="58"/>
    </row>
    <row r="381">
      <c r="A381" s="58"/>
    </row>
    <row r="382">
      <c r="A382" s="58"/>
    </row>
    <row r="383">
      <c r="A383" s="58"/>
    </row>
    <row r="384">
      <c r="A384" s="58"/>
    </row>
    <row r="385">
      <c r="A385" s="58"/>
    </row>
    <row r="386">
      <c r="A386" s="58"/>
    </row>
    <row r="387">
      <c r="A387" s="58"/>
    </row>
    <row r="388">
      <c r="A388" s="58"/>
    </row>
    <row r="389">
      <c r="A389" s="58"/>
    </row>
    <row r="390">
      <c r="A390" s="58"/>
    </row>
    <row r="391">
      <c r="A391" s="58"/>
    </row>
    <row r="392">
      <c r="A392" s="58"/>
    </row>
    <row r="393">
      <c r="A393" s="58"/>
    </row>
    <row r="394">
      <c r="A394" s="58"/>
    </row>
    <row r="395">
      <c r="A395" s="58"/>
    </row>
    <row r="396">
      <c r="A396" s="58"/>
    </row>
    <row r="397">
      <c r="A397" s="58"/>
    </row>
    <row r="398">
      <c r="A398" s="58"/>
    </row>
    <row r="399">
      <c r="A399" s="58"/>
    </row>
    <row r="400">
      <c r="A400" s="58"/>
    </row>
    <row r="401">
      <c r="A401" s="58"/>
    </row>
    <row r="402">
      <c r="A402" s="58"/>
    </row>
    <row r="403">
      <c r="A403" s="58"/>
    </row>
    <row r="404">
      <c r="A404" s="58"/>
    </row>
    <row r="405">
      <c r="A405" s="58"/>
    </row>
    <row r="406">
      <c r="A406" s="58"/>
    </row>
    <row r="407">
      <c r="A407" s="58"/>
    </row>
    <row r="408">
      <c r="A408" s="58"/>
    </row>
    <row r="409">
      <c r="A409" s="58"/>
    </row>
    <row r="410">
      <c r="A410" s="58"/>
    </row>
    <row r="411">
      <c r="A411" s="58"/>
    </row>
    <row r="412">
      <c r="A412" s="58"/>
    </row>
    <row r="413">
      <c r="A413" s="58"/>
    </row>
    <row r="414">
      <c r="A414" s="58"/>
    </row>
    <row r="415">
      <c r="A415" s="58"/>
    </row>
    <row r="416">
      <c r="A416" s="58"/>
    </row>
    <row r="417">
      <c r="A417" s="58"/>
    </row>
    <row r="418">
      <c r="A418" s="58"/>
    </row>
    <row r="419">
      <c r="A419" s="58"/>
    </row>
    <row r="420">
      <c r="A420" s="58"/>
    </row>
    <row r="421">
      <c r="A421" s="58"/>
    </row>
    <row r="422">
      <c r="A422" s="58"/>
    </row>
    <row r="423">
      <c r="A423" s="58"/>
    </row>
    <row r="424">
      <c r="A424" s="58"/>
    </row>
    <row r="425">
      <c r="A425" s="58"/>
    </row>
    <row r="426">
      <c r="A426" s="58"/>
    </row>
    <row r="427">
      <c r="A427" s="58"/>
    </row>
    <row r="428">
      <c r="A428" s="58"/>
    </row>
    <row r="429">
      <c r="A429" s="58"/>
    </row>
    <row r="430">
      <c r="A430" s="58"/>
    </row>
    <row r="431">
      <c r="A431" s="58"/>
    </row>
    <row r="432">
      <c r="A432" s="58"/>
    </row>
    <row r="433">
      <c r="A433" s="58"/>
    </row>
    <row r="434">
      <c r="A434" s="58"/>
    </row>
    <row r="435">
      <c r="A435" s="58"/>
    </row>
    <row r="436">
      <c r="A436" s="58"/>
    </row>
    <row r="437">
      <c r="A437" s="58"/>
    </row>
    <row r="438">
      <c r="A438" s="58"/>
    </row>
    <row r="439">
      <c r="A439" s="58"/>
    </row>
    <row r="440">
      <c r="A440" s="58"/>
    </row>
    <row r="441">
      <c r="A441" s="58"/>
    </row>
    <row r="442">
      <c r="A442" s="58"/>
    </row>
    <row r="443">
      <c r="A443" s="58"/>
    </row>
    <row r="444">
      <c r="A444" s="58"/>
    </row>
    <row r="445">
      <c r="A445" s="58"/>
    </row>
    <row r="446">
      <c r="A446" s="58"/>
    </row>
    <row r="447">
      <c r="A447" s="58"/>
    </row>
    <row r="448">
      <c r="A448" s="58"/>
    </row>
    <row r="449">
      <c r="A449" s="58"/>
    </row>
    <row r="450">
      <c r="A450" s="58"/>
    </row>
    <row r="451">
      <c r="A451" s="58"/>
    </row>
    <row r="452">
      <c r="A452" s="58"/>
    </row>
    <row r="453">
      <c r="A453" s="58"/>
    </row>
    <row r="454">
      <c r="A454" s="58"/>
    </row>
    <row r="455">
      <c r="A455" s="58"/>
    </row>
    <row r="456">
      <c r="A456" s="58"/>
    </row>
    <row r="457">
      <c r="A457" s="58"/>
    </row>
    <row r="458">
      <c r="A458" s="58"/>
    </row>
    <row r="459">
      <c r="A459" s="58"/>
    </row>
    <row r="460">
      <c r="A460" s="58"/>
    </row>
    <row r="461">
      <c r="A461" s="58"/>
    </row>
    <row r="462">
      <c r="A462" s="58"/>
    </row>
    <row r="463">
      <c r="A463" s="58"/>
    </row>
    <row r="464">
      <c r="A464" s="58"/>
    </row>
    <row r="465">
      <c r="A465" s="58"/>
    </row>
    <row r="466">
      <c r="A466" s="58"/>
    </row>
    <row r="467">
      <c r="A467" s="58"/>
    </row>
    <row r="468">
      <c r="A468" s="58"/>
    </row>
    <row r="469">
      <c r="A469" s="58"/>
    </row>
    <row r="470">
      <c r="A470" s="58"/>
    </row>
    <row r="471">
      <c r="A471" s="58"/>
    </row>
    <row r="472">
      <c r="A472" s="58"/>
    </row>
    <row r="473">
      <c r="A473" s="58"/>
    </row>
    <row r="474">
      <c r="A474" s="58"/>
    </row>
    <row r="475">
      <c r="A475" s="58"/>
    </row>
    <row r="476">
      <c r="A476" s="58"/>
    </row>
    <row r="477">
      <c r="A477" s="58"/>
    </row>
    <row r="478">
      <c r="A478" s="58"/>
    </row>
    <row r="479">
      <c r="A479" s="58"/>
    </row>
    <row r="480">
      <c r="A480" s="58"/>
    </row>
    <row r="481">
      <c r="A481" s="58"/>
    </row>
    <row r="482">
      <c r="A482" s="58"/>
    </row>
    <row r="483">
      <c r="A483" s="58"/>
    </row>
    <row r="484">
      <c r="A484" s="58"/>
    </row>
    <row r="485">
      <c r="A485" s="58"/>
    </row>
    <row r="486">
      <c r="A486" s="58"/>
    </row>
    <row r="487">
      <c r="A487" s="58"/>
    </row>
    <row r="488">
      <c r="A488" s="58"/>
    </row>
    <row r="489">
      <c r="A489" s="58"/>
    </row>
    <row r="490">
      <c r="A490" s="58"/>
    </row>
    <row r="491">
      <c r="A491" s="58"/>
    </row>
    <row r="492">
      <c r="A492" s="58"/>
    </row>
    <row r="493">
      <c r="A493" s="58"/>
    </row>
    <row r="494">
      <c r="A494" s="58"/>
    </row>
    <row r="495">
      <c r="A495" s="58"/>
    </row>
    <row r="496">
      <c r="A496" s="58"/>
    </row>
    <row r="497">
      <c r="A497" s="58"/>
    </row>
    <row r="498">
      <c r="A498" s="58"/>
    </row>
    <row r="499">
      <c r="A499" s="58"/>
    </row>
    <row r="500">
      <c r="A500" s="58"/>
    </row>
    <row r="501">
      <c r="A501" s="58"/>
    </row>
    <row r="502">
      <c r="A502" s="58"/>
    </row>
    <row r="503">
      <c r="A503" s="58"/>
    </row>
    <row r="504">
      <c r="A504" s="58"/>
    </row>
    <row r="505">
      <c r="A505" s="58"/>
    </row>
    <row r="506">
      <c r="A506" s="58"/>
    </row>
    <row r="507">
      <c r="A507" s="58"/>
    </row>
    <row r="508">
      <c r="A508" s="58"/>
    </row>
    <row r="509">
      <c r="A509" s="58"/>
    </row>
    <row r="510">
      <c r="A510" s="58"/>
    </row>
    <row r="511">
      <c r="A511" s="58"/>
    </row>
    <row r="512">
      <c r="A512" s="58"/>
    </row>
    <row r="513">
      <c r="A513" s="58"/>
    </row>
    <row r="514">
      <c r="A514" s="58"/>
    </row>
    <row r="515">
      <c r="A515" s="58"/>
    </row>
    <row r="516">
      <c r="A516" s="58"/>
    </row>
    <row r="517">
      <c r="A517" s="58"/>
    </row>
    <row r="518">
      <c r="A518" s="58"/>
    </row>
    <row r="519">
      <c r="A519" s="58"/>
    </row>
    <row r="520">
      <c r="A520" s="58"/>
    </row>
    <row r="521">
      <c r="A521" s="58"/>
    </row>
    <row r="522">
      <c r="A522" s="58"/>
    </row>
    <row r="523">
      <c r="A523" s="58"/>
    </row>
    <row r="524">
      <c r="A524" s="58"/>
    </row>
    <row r="525">
      <c r="A525" s="58"/>
    </row>
    <row r="526">
      <c r="A526" s="58"/>
    </row>
    <row r="527">
      <c r="A527" s="58"/>
    </row>
    <row r="528">
      <c r="A528" s="58"/>
    </row>
    <row r="529">
      <c r="A529" s="58"/>
    </row>
    <row r="530">
      <c r="A530" s="58"/>
    </row>
    <row r="531">
      <c r="A531" s="58"/>
    </row>
    <row r="532">
      <c r="A532" s="58"/>
    </row>
    <row r="533">
      <c r="A533" s="58"/>
    </row>
    <row r="534">
      <c r="A534" s="58"/>
    </row>
    <row r="535">
      <c r="A535" s="58"/>
    </row>
    <row r="536">
      <c r="A536" s="58"/>
    </row>
    <row r="537">
      <c r="A537" s="58"/>
    </row>
    <row r="538">
      <c r="A538" s="58"/>
    </row>
    <row r="539">
      <c r="A539" s="58"/>
    </row>
    <row r="540">
      <c r="A540" s="58"/>
    </row>
    <row r="541">
      <c r="A541" s="58"/>
    </row>
    <row r="542">
      <c r="A542" s="58"/>
    </row>
    <row r="543">
      <c r="A543" s="58"/>
    </row>
    <row r="544">
      <c r="A544" s="58"/>
    </row>
    <row r="545">
      <c r="A545" s="58"/>
    </row>
    <row r="546">
      <c r="A546" s="58"/>
    </row>
    <row r="547">
      <c r="A547" s="58"/>
    </row>
    <row r="548">
      <c r="A548" s="58"/>
    </row>
    <row r="549">
      <c r="A549" s="58"/>
    </row>
    <row r="550">
      <c r="A550" s="58"/>
    </row>
    <row r="551">
      <c r="A551" s="58"/>
    </row>
    <row r="552">
      <c r="A552" s="58"/>
    </row>
    <row r="553">
      <c r="A553" s="58"/>
    </row>
    <row r="554">
      <c r="A554" s="58"/>
    </row>
    <row r="555">
      <c r="A555" s="58"/>
    </row>
    <row r="556">
      <c r="A556" s="58"/>
    </row>
    <row r="557">
      <c r="A557" s="58"/>
    </row>
    <row r="558">
      <c r="A558" s="58"/>
    </row>
    <row r="559">
      <c r="A559" s="58"/>
    </row>
    <row r="560">
      <c r="A560" s="58"/>
    </row>
    <row r="561">
      <c r="A561" s="58"/>
    </row>
    <row r="562">
      <c r="A562" s="58"/>
    </row>
    <row r="563">
      <c r="A563" s="58"/>
    </row>
    <row r="564">
      <c r="A564" s="58"/>
    </row>
    <row r="565">
      <c r="A565" s="58"/>
    </row>
    <row r="566">
      <c r="A566" s="58"/>
    </row>
    <row r="567">
      <c r="A567" s="58"/>
    </row>
    <row r="568">
      <c r="A568" s="58"/>
    </row>
    <row r="569">
      <c r="A569" s="58"/>
    </row>
    <row r="570">
      <c r="A570" s="58"/>
    </row>
    <row r="571">
      <c r="A571" s="58"/>
    </row>
    <row r="572">
      <c r="A572" s="58"/>
    </row>
    <row r="573">
      <c r="A573" s="58"/>
    </row>
    <row r="574">
      <c r="A574" s="58"/>
    </row>
    <row r="575">
      <c r="A575" s="58"/>
    </row>
    <row r="576">
      <c r="A576" s="58"/>
    </row>
    <row r="577">
      <c r="A577" s="58"/>
    </row>
    <row r="578">
      <c r="A578" s="58"/>
    </row>
    <row r="579">
      <c r="A579" s="58"/>
    </row>
    <row r="580">
      <c r="A580" s="58"/>
    </row>
    <row r="581">
      <c r="A581" s="58"/>
    </row>
    <row r="582">
      <c r="A582" s="58"/>
    </row>
    <row r="583">
      <c r="A583" s="58"/>
    </row>
    <row r="584">
      <c r="A584" s="58"/>
    </row>
    <row r="585">
      <c r="A585" s="58"/>
    </row>
    <row r="586">
      <c r="A586" s="58"/>
    </row>
    <row r="587">
      <c r="A587" s="58"/>
    </row>
    <row r="588">
      <c r="A588" s="58"/>
    </row>
    <row r="589">
      <c r="A589" s="58"/>
    </row>
    <row r="590">
      <c r="A590" s="58"/>
    </row>
    <row r="591">
      <c r="A591" s="58"/>
    </row>
    <row r="592">
      <c r="A592" s="58"/>
    </row>
    <row r="593">
      <c r="A593" s="58"/>
    </row>
    <row r="594">
      <c r="A594" s="58"/>
    </row>
    <row r="595">
      <c r="A595" s="58"/>
    </row>
    <row r="596">
      <c r="A596" s="58"/>
    </row>
    <row r="597">
      <c r="A597" s="58"/>
    </row>
    <row r="598">
      <c r="A598" s="58"/>
    </row>
    <row r="599">
      <c r="A599" s="58"/>
    </row>
    <row r="600">
      <c r="A600" s="58"/>
    </row>
    <row r="601">
      <c r="A601" s="58"/>
    </row>
    <row r="602">
      <c r="A602" s="58"/>
    </row>
    <row r="603">
      <c r="A603" s="58"/>
    </row>
    <row r="604">
      <c r="A604" s="58"/>
    </row>
    <row r="605">
      <c r="A605" s="58"/>
    </row>
    <row r="606">
      <c r="A606" s="58"/>
    </row>
    <row r="607">
      <c r="A607" s="58"/>
    </row>
    <row r="608">
      <c r="A608" s="58"/>
    </row>
    <row r="609">
      <c r="A609" s="58"/>
    </row>
    <row r="610">
      <c r="A610" s="58"/>
    </row>
    <row r="611">
      <c r="A611" s="58"/>
    </row>
    <row r="612">
      <c r="A612" s="58"/>
    </row>
    <row r="613">
      <c r="A613" s="58"/>
    </row>
    <row r="614">
      <c r="A614" s="58"/>
    </row>
    <row r="615">
      <c r="A615" s="58"/>
    </row>
    <row r="616">
      <c r="A616" s="58"/>
    </row>
    <row r="617">
      <c r="A617" s="58"/>
    </row>
    <row r="618">
      <c r="A618" s="58"/>
    </row>
    <row r="619">
      <c r="A619" s="58"/>
    </row>
    <row r="620">
      <c r="A620" s="58"/>
    </row>
    <row r="621">
      <c r="A621" s="58"/>
    </row>
    <row r="622">
      <c r="A622" s="58"/>
    </row>
    <row r="623">
      <c r="A623" s="58"/>
    </row>
    <row r="624">
      <c r="A624" s="58"/>
    </row>
    <row r="625">
      <c r="A625" s="58"/>
    </row>
    <row r="626">
      <c r="A626" s="58"/>
    </row>
    <row r="627">
      <c r="A627" s="58"/>
    </row>
    <row r="628">
      <c r="A628" s="58"/>
    </row>
    <row r="629">
      <c r="A629" s="58"/>
    </row>
    <row r="630">
      <c r="A630" s="58"/>
    </row>
    <row r="631">
      <c r="A631" s="58"/>
    </row>
    <row r="632">
      <c r="A632" s="58"/>
    </row>
    <row r="633">
      <c r="A633" s="58"/>
    </row>
    <row r="634">
      <c r="A634" s="58"/>
    </row>
    <row r="635">
      <c r="A635" s="58"/>
    </row>
    <row r="636">
      <c r="A636" s="58"/>
    </row>
    <row r="637">
      <c r="A637" s="58"/>
    </row>
    <row r="638">
      <c r="A638" s="58"/>
    </row>
    <row r="639">
      <c r="A639" s="58"/>
    </row>
    <row r="640">
      <c r="A640" s="58"/>
    </row>
    <row r="641">
      <c r="A641" s="58"/>
    </row>
    <row r="642">
      <c r="A642" s="58"/>
    </row>
    <row r="643">
      <c r="A643" s="58"/>
    </row>
    <row r="644">
      <c r="A644" s="58"/>
    </row>
    <row r="645">
      <c r="A645" s="58"/>
    </row>
    <row r="646">
      <c r="A646" s="58"/>
    </row>
    <row r="647">
      <c r="A647" s="58"/>
    </row>
    <row r="648">
      <c r="A648" s="58"/>
    </row>
    <row r="649">
      <c r="A649" s="58"/>
    </row>
    <row r="650">
      <c r="A650" s="58"/>
    </row>
    <row r="651">
      <c r="A651" s="58"/>
    </row>
    <row r="652">
      <c r="A652" s="58"/>
    </row>
    <row r="653">
      <c r="A653" s="58"/>
    </row>
    <row r="654">
      <c r="A654" s="58"/>
    </row>
    <row r="655">
      <c r="A655" s="58"/>
    </row>
    <row r="656">
      <c r="A656" s="58"/>
    </row>
    <row r="657">
      <c r="A657" s="58"/>
    </row>
    <row r="658">
      <c r="A658" s="58"/>
    </row>
    <row r="659">
      <c r="A659" s="58"/>
    </row>
    <row r="660">
      <c r="A660" s="58"/>
    </row>
    <row r="661">
      <c r="A661" s="58"/>
    </row>
    <row r="662">
      <c r="A662" s="58"/>
    </row>
    <row r="663">
      <c r="A663" s="58"/>
    </row>
    <row r="664">
      <c r="A664" s="58"/>
    </row>
    <row r="665">
      <c r="A665" s="58"/>
    </row>
    <row r="666">
      <c r="A666" s="58"/>
    </row>
    <row r="667">
      <c r="A667" s="58"/>
    </row>
    <row r="668">
      <c r="A668" s="58"/>
    </row>
    <row r="669">
      <c r="A669" s="58"/>
    </row>
    <row r="670">
      <c r="A670" s="58"/>
    </row>
    <row r="671">
      <c r="A671" s="58"/>
    </row>
    <row r="672">
      <c r="A672" s="58"/>
    </row>
    <row r="673">
      <c r="A673" s="58"/>
    </row>
    <row r="674">
      <c r="A674" s="58"/>
    </row>
    <row r="675">
      <c r="A675" s="58"/>
    </row>
    <row r="676">
      <c r="A676" s="58"/>
    </row>
    <row r="677">
      <c r="A677" s="58"/>
    </row>
    <row r="678">
      <c r="A678" s="58"/>
    </row>
    <row r="679">
      <c r="A679" s="58"/>
    </row>
    <row r="680">
      <c r="A680" s="58"/>
    </row>
    <row r="681">
      <c r="A681" s="58"/>
    </row>
    <row r="682">
      <c r="A682" s="58"/>
    </row>
    <row r="683">
      <c r="A683" s="58"/>
    </row>
    <row r="684">
      <c r="A684" s="58"/>
    </row>
    <row r="685">
      <c r="A685" s="58"/>
    </row>
    <row r="686">
      <c r="A686" s="58"/>
    </row>
    <row r="687">
      <c r="A687" s="58"/>
    </row>
    <row r="688">
      <c r="A688" s="58"/>
    </row>
    <row r="689">
      <c r="A689" s="58"/>
    </row>
    <row r="690">
      <c r="A690" s="58"/>
    </row>
    <row r="691">
      <c r="A691" s="58"/>
    </row>
    <row r="692">
      <c r="A692" s="58"/>
    </row>
    <row r="693">
      <c r="A693" s="58"/>
    </row>
    <row r="694">
      <c r="A694" s="58"/>
    </row>
    <row r="695">
      <c r="A695" s="58"/>
    </row>
    <row r="696">
      <c r="A696" s="58"/>
    </row>
    <row r="697">
      <c r="A697" s="58"/>
    </row>
    <row r="698">
      <c r="A698" s="58"/>
    </row>
    <row r="699">
      <c r="A699" s="58"/>
    </row>
    <row r="700">
      <c r="A700" s="58"/>
    </row>
    <row r="701">
      <c r="A701" s="58"/>
    </row>
    <row r="702">
      <c r="A702" s="58"/>
    </row>
    <row r="703">
      <c r="A703" s="58"/>
    </row>
    <row r="704">
      <c r="A704" s="58"/>
    </row>
    <row r="705">
      <c r="A705" s="58"/>
    </row>
    <row r="706">
      <c r="A706" s="58"/>
    </row>
    <row r="707">
      <c r="A707" s="58"/>
    </row>
    <row r="708">
      <c r="A708" s="58"/>
    </row>
    <row r="709">
      <c r="A709" s="58"/>
    </row>
    <row r="710">
      <c r="A710" s="58"/>
    </row>
    <row r="711">
      <c r="A711" s="58"/>
    </row>
    <row r="712">
      <c r="A712" s="58"/>
    </row>
    <row r="713">
      <c r="A713" s="58"/>
    </row>
    <row r="714">
      <c r="A714" s="58"/>
    </row>
    <row r="715">
      <c r="A715" s="58"/>
    </row>
    <row r="716">
      <c r="A716" s="58"/>
    </row>
    <row r="717">
      <c r="A717" s="58"/>
    </row>
    <row r="718">
      <c r="A718" s="58"/>
    </row>
    <row r="719">
      <c r="A719" s="58"/>
    </row>
    <row r="720">
      <c r="A720" s="58"/>
    </row>
    <row r="721">
      <c r="A721" s="58"/>
    </row>
    <row r="722">
      <c r="A722" s="58"/>
    </row>
    <row r="723">
      <c r="A723" s="58"/>
    </row>
    <row r="724">
      <c r="A724" s="58"/>
    </row>
    <row r="725">
      <c r="A725" s="58"/>
    </row>
    <row r="726">
      <c r="A726" s="58"/>
    </row>
    <row r="727">
      <c r="A727" s="58"/>
    </row>
    <row r="728">
      <c r="A728" s="58"/>
    </row>
    <row r="729">
      <c r="A729" s="58"/>
    </row>
    <row r="730">
      <c r="A730" s="58"/>
    </row>
    <row r="731">
      <c r="A731" s="58"/>
    </row>
    <row r="732">
      <c r="A732" s="58"/>
    </row>
    <row r="733">
      <c r="A733" s="58"/>
    </row>
    <row r="734">
      <c r="A734" s="58"/>
    </row>
    <row r="735">
      <c r="A735" s="58"/>
    </row>
    <row r="736">
      <c r="A736" s="58"/>
    </row>
    <row r="737">
      <c r="A737" s="58"/>
    </row>
    <row r="738">
      <c r="A738" s="58"/>
    </row>
    <row r="739">
      <c r="A739" s="58"/>
    </row>
    <row r="740">
      <c r="A740" s="58"/>
    </row>
    <row r="741">
      <c r="A741" s="58"/>
    </row>
    <row r="742">
      <c r="A742" s="58"/>
    </row>
    <row r="743">
      <c r="A743" s="58"/>
    </row>
    <row r="744">
      <c r="A744" s="58"/>
    </row>
    <row r="745">
      <c r="A745" s="58"/>
    </row>
    <row r="746">
      <c r="A746" s="58"/>
    </row>
    <row r="747">
      <c r="A747" s="58"/>
    </row>
    <row r="748">
      <c r="A748" s="58"/>
    </row>
    <row r="749">
      <c r="A749" s="58"/>
    </row>
    <row r="750">
      <c r="A750" s="58"/>
    </row>
    <row r="751">
      <c r="A751" s="58"/>
    </row>
    <row r="752">
      <c r="A752" s="58"/>
    </row>
    <row r="753">
      <c r="A753" s="58"/>
    </row>
    <row r="754">
      <c r="A754" s="58"/>
    </row>
    <row r="755">
      <c r="A755" s="58"/>
    </row>
    <row r="756">
      <c r="A756" s="58"/>
    </row>
    <row r="757">
      <c r="A757" s="58"/>
    </row>
    <row r="758">
      <c r="A758" s="58"/>
    </row>
    <row r="759">
      <c r="A759" s="58"/>
    </row>
    <row r="760">
      <c r="A760" s="58"/>
    </row>
    <row r="761">
      <c r="A761" s="58"/>
    </row>
    <row r="762">
      <c r="A762" s="58"/>
    </row>
    <row r="763">
      <c r="A763" s="58"/>
    </row>
    <row r="764">
      <c r="A764" s="58"/>
    </row>
    <row r="765">
      <c r="A765" s="58"/>
    </row>
    <row r="766">
      <c r="A766" s="58"/>
    </row>
    <row r="767">
      <c r="A767" s="58"/>
    </row>
    <row r="768">
      <c r="A768" s="58"/>
    </row>
    <row r="769">
      <c r="A769" s="58"/>
    </row>
    <row r="770">
      <c r="A770" s="58"/>
    </row>
    <row r="771">
      <c r="A771" s="58"/>
    </row>
    <row r="772">
      <c r="A772" s="58"/>
    </row>
    <row r="773">
      <c r="A773" s="58"/>
    </row>
    <row r="774">
      <c r="A774" s="58"/>
    </row>
    <row r="775">
      <c r="A775" s="58"/>
    </row>
    <row r="776">
      <c r="A776" s="58"/>
    </row>
    <row r="777">
      <c r="A777" s="58"/>
    </row>
    <row r="778">
      <c r="A778" s="58"/>
    </row>
    <row r="779">
      <c r="A779" s="58"/>
    </row>
    <row r="780">
      <c r="A780" s="58"/>
    </row>
    <row r="781">
      <c r="A781" s="58"/>
    </row>
    <row r="782">
      <c r="A782" s="58"/>
    </row>
    <row r="783">
      <c r="A783" s="58"/>
    </row>
    <row r="784">
      <c r="A784" s="58"/>
    </row>
    <row r="785">
      <c r="A785" s="58"/>
    </row>
    <row r="786">
      <c r="A786" s="58"/>
    </row>
    <row r="787">
      <c r="A787" s="58"/>
    </row>
    <row r="788">
      <c r="A788" s="58"/>
    </row>
    <row r="789">
      <c r="A789" s="58"/>
    </row>
    <row r="790">
      <c r="A790" s="58"/>
    </row>
    <row r="791">
      <c r="A791" s="58"/>
    </row>
    <row r="792">
      <c r="A792" s="58"/>
    </row>
    <row r="793">
      <c r="A793" s="58"/>
    </row>
    <row r="794">
      <c r="A794" s="58"/>
    </row>
    <row r="795">
      <c r="A795" s="58"/>
    </row>
    <row r="796">
      <c r="A796" s="58"/>
    </row>
    <row r="797">
      <c r="A797" s="58"/>
    </row>
    <row r="798">
      <c r="A798" s="58"/>
    </row>
    <row r="799">
      <c r="A799" s="58"/>
    </row>
    <row r="800">
      <c r="A800" s="58"/>
    </row>
    <row r="801">
      <c r="A801" s="58"/>
    </row>
    <row r="802">
      <c r="A802" s="58"/>
    </row>
    <row r="803">
      <c r="A803" s="58"/>
    </row>
    <row r="804">
      <c r="A804" s="58"/>
    </row>
    <row r="805">
      <c r="A805" s="58"/>
    </row>
    <row r="806">
      <c r="A806" s="58"/>
    </row>
    <row r="807">
      <c r="A807" s="58"/>
    </row>
    <row r="808">
      <c r="A808" s="58"/>
    </row>
    <row r="809">
      <c r="A809" s="58"/>
    </row>
    <row r="810">
      <c r="A810" s="58"/>
    </row>
    <row r="811">
      <c r="A811" s="58"/>
    </row>
    <row r="812">
      <c r="A812" s="58"/>
    </row>
    <row r="813">
      <c r="A813" s="58"/>
    </row>
    <row r="814">
      <c r="A814" s="58"/>
    </row>
    <row r="815">
      <c r="A815" s="58"/>
    </row>
    <row r="816">
      <c r="A816" s="58"/>
    </row>
    <row r="817">
      <c r="A817" s="58"/>
    </row>
    <row r="818">
      <c r="A818" s="58"/>
    </row>
    <row r="819">
      <c r="A819" s="58"/>
    </row>
    <row r="820">
      <c r="A820" s="58"/>
    </row>
    <row r="821">
      <c r="A821" s="58"/>
    </row>
    <row r="822">
      <c r="A822" s="58"/>
    </row>
    <row r="823">
      <c r="A823" s="58"/>
    </row>
    <row r="824">
      <c r="A824" s="58"/>
    </row>
    <row r="825">
      <c r="A825" s="58"/>
    </row>
    <row r="826">
      <c r="A826" s="58"/>
    </row>
    <row r="827">
      <c r="A827" s="58"/>
    </row>
    <row r="828">
      <c r="A828" s="58"/>
    </row>
    <row r="829">
      <c r="A829" s="58"/>
    </row>
    <row r="830">
      <c r="A830" s="58"/>
    </row>
    <row r="831">
      <c r="A831" s="58"/>
    </row>
    <row r="832">
      <c r="A832" s="58"/>
    </row>
    <row r="833">
      <c r="A833" s="58"/>
    </row>
    <row r="834">
      <c r="A834" s="58"/>
    </row>
    <row r="835">
      <c r="A835" s="58"/>
    </row>
    <row r="836">
      <c r="A836" s="58"/>
    </row>
    <row r="837">
      <c r="A837" s="58"/>
    </row>
    <row r="838">
      <c r="A838" s="58"/>
    </row>
    <row r="839">
      <c r="A839" s="58"/>
    </row>
    <row r="840">
      <c r="A840" s="58"/>
    </row>
    <row r="841">
      <c r="A841" s="58"/>
    </row>
    <row r="842">
      <c r="A842" s="58"/>
    </row>
    <row r="843">
      <c r="A843" s="58"/>
    </row>
    <row r="844">
      <c r="A844" s="58"/>
    </row>
    <row r="845">
      <c r="A845" s="58"/>
    </row>
    <row r="846">
      <c r="A846" s="58"/>
    </row>
    <row r="847">
      <c r="A847" s="58"/>
    </row>
    <row r="848">
      <c r="A848" s="58"/>
    </row>
    <row r="849">
      <c r="A849" s="58"/>
    </row>
    <row r="850">
      <c r="A850" s="58"/>
    </row>
    <row r="851">
      <c r="A851" s="58"/>
    </row>
    <row r="852">
      <c r="A852" s="58"/>
    </row>
    <row r="853">
      <c r="A853" s="58"/>
    </row>
    <row r="854">
      <c r="A854" s="58"/>
    </row>
    <row r="855">
      <c r="A855" s="58"/>
    </row>
    <row r="856">
      <c r="A856" s="58"/>
    </row>
    <row r="857">
      <c r="A857" s="58"/>
    </row>
    <row r="858">
      <c r="A858" s="58"/>
    </row>
    <row r="859">
      <c r="A859" s="58"/>
    </row>
    <row r="860">
      <c r="A860" s="58"/>
    </row>
    <row r="861">
      <c r="A861" s="58"/>
    </row>
    <row r="862">
      <c r="A862" s="58"/>
    </row>
    <row r="863">
      <c r="A863" s="58"/>
    </row>
    <row r="864">
      <c r="A864" s="58"/>
    </row>
    <row r="865">
      <c r="A865" s="58"/>
    </row>
    <row r="866">
      <c r="A866" s="58"/>
    </row>
    <row r="867">
      <c r="A867" s="58"/>
    </row>
    <row r="868">
      <c r="A868" s="58"/>
    </row>
    <row r="869">
      <c r="A869" s="58"/>
    </row>
    <row r="870">
      <c r="A870" s="58"/>
    </row>
    <row r="871">
      <c r="A871" s="58"/>
    </row>
    <row r="872">
      <c r="A872" s="58"/>
    </row>
    <row r="873">
      <c r="A873" s="58"/>
    </row>
    <row r="874">
      <c r="A874" s="58"/>
    </row>
    <row r="875">
      <c r="A875" s="58"/>
    </row>
    <row r="876">
      <c r="A876" s="58"/>
    </row>
    <row r="877">
      <c r="A877" s="58"/>
    </row>
    <row r="878">
      <c r="A878" s="58"/>
    </row>
    <row r="879">
      <c r="A879" s="58"/>
    </row>
    <row r="880">
      <c r="A880" s="58"/>
    </row>
    <row r="881">
      <c r="A881" s="58"/>
    </row>
    <row r="882">
      <c r="A882" s="58"/>
    </row>
    <row r="883">
      <c r="A883" s="58"/>
    </row>
    <row r="884">
      <c r="A884" s="58"/>
    </row>
    <row r="885">
      <c r="A885" s="58"/>
    </row>
    <row r="886">
      <c r="A886" s="58"/>
    </row>
    <row r="887">
      <c r="A887" s="58"/>
    </row>
    <row r="888">
      <c r="A888" s="58"/>
    </row>
    <row r="889">
      <c r="A889" s="58"/>
    </row>
    <row r="890">
      <c r="A890" s="58"/>
    </row>
    <row r="891">
      <c r="A891" s="58"/>
    </row>
    <row r="892">
      <c r="A892" s="58"/>
    </row>
    <row r="893">
      <c r="A893" s="58"/>
    </row>
    <row r="894">
      <c r="A894" s="58"/>
    </row>
    <row r="895">
      <c r="A895" s="58"/>
    </row>
    <row r="896">
      <c r="A896" s="58"/>
    </row>
    <row r="897">
      <c r="A897" s="58"/>
    </row>
    <row r="898">
      <c r="A898" s="58"/>
    </row>
    <row r="899">
      <c r="A899" s="58"/>
    </row>
    <row r="900">
      <c r="A900" s="58"/>
    </row>
    <row r="901">
      <c r="A901" s="58"/>
    </row>
    <row r="902">
      <c r="A902" s="58"/>
    </row>
    <row r="903">
      <c r="A903" s="58"/>
    </row>
    <row r="904">
      <c r="A904" s="58"/>
    </row>
    <row r="905">
      <c r="A905" s="58"/>
    </row>
    <row r="906">
      <c r="A906" s="58"/>
    </row>
    <row r="907">
      <c r="A907" s="58"/>
    </row>
    <row r="908">
      <c r="A908" s="58"/>
    </row>
    <row r="909">
      <c r="A909" s="58"/>
    </row>
    <row r="910">
      <c r="A910" s="58"/>
    </row>
    <row r="911">
      <c r="A911" s="58"/>
    </row>
    <row r="912">
      <c r="A912" s="58"/>
    </row>
    <row r="913">
      <c r="A913" s="58"/>
    </row>
    <row r="914">
      <c r="A914" s="58"/>
    </row>
    <row r="915">
      <c r="A915" s="58"/>
    </row>
    <row r="916">
      <c r="A916" s="58"/>
    </row>
    <row r="917">
      <c r="A917" s="58"/>
    </row>
    <row r="918">
      <c r="A918" s="58"/>
    </row>
    <row r="919">
      <c r="A919" s="58"/>
    </row>
    <row r="920">
      <c r="A920" s="58"/>
    </row>
    <row r="921">
      <c r="A921" s="58"/>
    </row>
    <row r="922">
      <c r="A922" s="58"/>
    </row>
    <row r="923">
      <c r="A923" s="58"/>
    </row>
    <row r="924">
      <c r="A924" s="58"/>
    </row>
    <row r="925">
      <c r="A925" s="58"/>
    </row>
    <row r="926">
      <c r="A926" s="58"/>
    </row>
    <row r="927">
      <c r="A927" s="58"/>
    </row>
    <row r="928">
      <c r="A928" s="58"/>
    </row>
    <row r="929">
      <c r="A929" s="58"/>
    </row>
    <row r="930">
      <c r="A930" s="58"/>
    </row>
    <row r="931">
      <c r="A931" s="58"/>
    </row>
    <row r="932">
      <c r="A932" s="58"/>
    </row>
    <row r="933">
      <c r="A933" s="58"/>
    </row>
    <row r="934">
      <c r="A934" s="58"/>
    </row>
    <row r="935">
      <c r="A935" s="58"/>
    </row>
    <row r="936">
      <c r="A936" s="58"/>
    </row>
    <row r="937">
      <c r="A937" s="58"/>
    </row>
    <row r="938">
      <c r="A938" s="58"/>
    </row>
    <row r="939">
      <c r="A939" s="58"/>
    </row>
    <row r="940">
      <c r="A940" s="58"/>
    </row>
    <row r="941">
      <c r="A941" s="58"/>
    </row>
    <row r="942">
      <c r="A942" s="58"/>
    </row>
    <row r="943">
      <c r="A943" s="58"/>
    </row>
    <row r="944">
      <c r="A944" s="58"/>
    </row>
    <row r="945">
      <c r="A945" s="58"/>
    </row>
    <row r="946">
      <c r="A946" s="58"/>
    </row>
    <row r="947">
      <c r="A947" s="58"/>
    </row>
    <row r="948">
      <c r="A948" s="58"/>
    </row>
    <row r="949">
      <c r="A949" s="58"/>
    </row>
    <row r="950">
      <c r="A950" s="58"/>
    </row>
    <row r="951">
      <c r="A951" s="58"/>
    </row>
    <row r="952">
      <c r="A952" s="58"/>
    </row>
    <row r="953">
      <c r="A953" s="58"/>
    </row>
    <row r="954">
      <c r="A954" s="58"/>
    </row>
    <row r="955">
      <c r="A955" s="58"/>
    </row>
    <row r="956">
      <c r="A956" s="58"/>
    </row>
    <row r="957">
      <c r="A957" s="58"/>
    </row>
    <row r="958">
      <c r="A958" s="58"/>
    </row>
    <row r="959">
      <c r="A959" s="58"/>
    </row>
    <row r="960">
      <c r="A960" s="58"/>
    </row>
    <row r="961">
      <c r="A961" s="58"/>
    </row>
    <row r="962">
      <c r="A962" s="58"/>
    </row>
    <row r="963">
      <c r="A963" s="58"/>
    </row>
    <row r="964">
      <c r="A964" s="58"/>
    </row>
    <row r="965">
      <c r="A965" s="58"/>
    </row>
    <row r="966">
      <c r="A966" s="58"/>
    </row>
    <row r="967">
      <c r="A967" s="58"/>
    </row>
    <row r="968">
      <c r="A968" s="58"/>
    </row>
    <row r="969">
      <c r="A969" s="58"/>
    </row>
    <row r="970">
      <c r="A970" s="58"/>
    </row>
    <row r="971">
      <c r="A971" s="58"/>
    </row>
    <row r="972">
      <c r="A972" s="58"/>
    </row>
    <row r="973">
      <c r="A973" s="58"/>
    </row>
    <row r="974">
      <c r="A974" s="58"/>
    </row>
    <row r="975">
      <c r="A975" s="58"/>
    </row>
    <row r="976">
      <c r="A976" s="58"/>
    </row>
    <row r="977">
      <c r="A977" s="58"/>
    </row>
    <row r="978">
      <c r="A978" s="58"/>
    </row>
    <row r="979">
      <c r="A979" s="58"/>
    </row>
    <row r="980">
      <c r="A980" s="58"/>
    </row>
    <row r="981">
      <c r="A981" s="58"/>
    </row>
    <row r="982">
      <c r="A982" s="58"/>
    </row>
    <row r="983">
      <c r="A983" s="58"/>
    </row>
    <row r="984">
      <c r="A984" s="58"/>
    </row>
    <row r="985">
      <c r="A985" s="58"/>
    </row>
    <row r="986">
      <c r="A986" s="58"/>
    </row>
    <row r="987">
      <c r="A987" s="58"/>
    </row>
    <row r="988">
      <c r="A988" s="58"/>
    </row>
    <row r="989">
      <c r="A989" s="58"/>
    </row>
    <row r="990">
      <c r="A990" s="58"/>
    </row>
    <row r="991">
      <c r="A991" s="58"/>
    </row>
    <row r="992">
      <c r="A992" s="58"/>
    </row>
    <row r="993">
      <c r="A993" s="58"/>
    </row>
    <row r="994">
      <c r="A994" s="58"/>
    </row>
    <row r="995">
      <c r="A995" s="58"/>
    </row>
    <row r="996">
      <c r="A996" s="58"/>
    </row>
    <row r="997">
      <c r="A997" s="58"/>
    </row>
    <row r="998">
      <c r="A998" s="58"/>
    </row>
  </sheetData>
  <mergeCells count="11">
    <mergeCell ref="K12:L12"/>
    <mergeCell ref="I13:K13"/>
    <mergeCell ref="H14:J14"/>
    <mergeCell ref="N17:P17"/>
    <mergeCell ref="F1:G1"/>
    <mergeCell ref="F3:G3"/>
    <mergeCell ref="G4:I4"/>
    <mergeCell ref="G5:I5"/>
    <mergeCell ref="G6:I6"/>
    <mergeCell ref="G7:I7"/>
    <mergeCell ref="F10:H1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2.88"/>
  </cols>
  <sheetData>
    <row r="1">
      <c r="A1" s="59" t="s">
        <v>0</v>
      </c>
      <c r="B1" s="29" t="s">
        <v>57</v>
      </c>
      <c r="C1" s="63" t="s">
        <v>58</v>
      </c>
      <c r="E1" s="67"/>
      <c r="F1" s="76" t="s">
        <v>59</v>
      </c>
      <c r="H1" s="67"/>
      <c r="I1" s="67"/>
      <c r="J1" s="67"/>
      <c r="K1" s="67"/>
      <c r="L1" s="67"/>
      <c r="M1" s="67"/>
      <c r="N1" s="67"/>
      <c r="O1" s="67"/>
    </row>
    <row r="2">
      <c r="A2" s="54">
        <v>46055.0</v>
      </c>
      <c r="B2" s="21">
        <f>VLOOKUP(A2,'CAPM Regression Data (weekly ex'!A:G,6,0)</f>
        <v>0.02693929256</v>
      </c>
      <c r="C2" s="21">
        <f>vlookup(A2,'CAPM Regression Data (weekly ex'!A:G,7,0)</f>
        <v>-0.001731414655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>
      <c r="A3" s="54">
        <v>46048.0</v>
      </c>
      <c r="B3" s="21">
        <f>VLOOKUP(A3,'CAPM Regression Data (weekly ex'!A:G,6,0)</f>
        <v>0.008746291516</v>
      </c>
      <c r="C3" s="21">
        <f>vlookup(A3,'CAPM Regression Data (weekly ex'!A:G,7,0)</f>
        <v>0.002625003</v>
      </c>
      <c r="E3" s="67"/>
      <c r="F3" s="77" t="s">
        <v>60</v>
      </c>
      <c r="G3" s="69"/>
      <c r="H3" s="67"/>
      <c r="I3" s="67"/>
      <c r="J3" s="67"/>
      <c r="K3" s="67"/>
      <c r="L3" s="67"/>
      <c r="M3" s="67"/>
      <c r="N3" s="67"/>
      <c r="O3" s="67"/>
    </row>
    <row r="4">
      <c r="A4" s="54">
        <v>46041.0</v>
      </c>
      <c r="B4" s="21">
        <f>VLOOKUP(A4,'CAPM Regression Data (weekly ex'!A:G,6,0)</f>
        <v>-0.05472979243</v>
      </c>
      <c r="C4" s="21">
        <f>vlookup(A4,'CAPM Regression Data (weekly ex'!A:G,7,0)</f>
        <v>-0.00427738354</v>
      </c>
      <c r="E4" s="67"/>
      <c r="F4" s="76" t="s">
        <v>61</v>
      </c>
      <c r="G4" s="76">
        <v>0.635815783375735</v>
      </c>
      <c r="I4" s="67"/>
      <c r="J4" s="67"/>
      <c r="K4" s="67"/>
      <c r="L4" s="67"/>
      <c r="M4" s="67"/>
      <c r="N4" s="67"/>
      <c r="O4" s="67"/>
    </row>
    <row r="5">
      <c r="A5" s="54">
        <v>46034.0</v>
      </c>
      <c r="B5" s="21">
        <f>VLOOKUP(A5,'CAPM Regression Data (weekly ex'!A:G,6,0)</f>
        <v>0.1051483504</v>
      </c>
      <c r="C5" s="21">
        <f>vlookup(A5,'CAPM Regression Data (weekly ex'!A:G,7,0)</f>
        <v>-0.004532561159</v>
      </c>
      <c r="E5" s="67"/>
      <c r="F5" s="76" t="s">
        <v>62</v>
      </c>
      <c r="G5" s="76">
        <v>0.404261710389699</v>
      </c>
      <c r="I5" s="67"/>
      <c r="J5" s="67"/>
      <c r="K5" s="67"/>
      <c r="L5" s="67"/>
      <c r="M5" s="67"/>
      <c r="N5" s="67"/>
      <c r="O5" s="67"/>
    </row>
    <row r="6">
      <c r="A6" s="54">
        <v>46027.0</v>
      </c>
      <c r="B6" s="21">
        <f>VLOOKUP(A6,'CAPM Regression Data (weekly ex'!A:G,6,0)</f>
        <v>0.06936995809</v>
      </c>
      <c r="C6" s="21">
        <f>vlookup(A6,'CAPM Regression Data (weekly ex'!A:G,7,0)</f>
        <v>0.01495771088</v>
      </c>
      <c r="E6" s="67"/>
      <c r="F6" s="76" t="s">
        <v>63</v>
      </c>
      <c r="G6" s="76">
        <v>0.392346944597493</v>
      </c>
      <c r="I6" s="67"/>
      <c r="J6" s="67"/>
      <c r="K6" s="67"/>
      <c r="L6" s="67"/>
      <c r="M6" s="67"/>
      <c r="N6" s="67"/>
      <c r="O6" s="67"/>
    </row>
    <row r="7">
      <c r="A7" s="54">
        <v>46020.0</v>
      </c>
      <c r="B7" s="21">
        <f>VLOOKUP(A7,'CAPM Regression Data (weekly ex'!A:G,6,0)</f>
        <v>0.004273074503</v>
      </c>
      <c r="C7" s="21">
        <f>vlookup(A7,'CAPM Regression Data (weekly ex'!A:G,7,0)</f>
        <v>-0.01107475907</v>
      </c>
      <c r="E7" s="67"/>
      <c r="F7" s="76" t="s">
        <v>64</v>
      </c>
      <c r="G7" s="76">
        <v>0.0398800877884623</v>
      </c>
      <c r="J7" s="67"/>
      <c r="K7" s="67"/>
      <c r="L7" s="67"/>
      <c r="M7" s="67"/>
      <c r="N7" s="67"/>
      <c r="O7" s="67"/>
    </row>
    <row r="8">
      <c r="A8" s="54">
        <v>46013.0</v>
      </c>
      <c r="B8" s="21">
        <f>VLOOKUP(A8,'CAPM Regression Data (weekly ex'!A:G,6,0)</f>
        <v>0.008768321767</v>
      </c>
      <c r="C8" s="21">
        <f>vlookup(A8,'CAPM Regression Data (weekly ex'!A:G,7,0)</f>
        <v>0.01320290663</v>
      </c>
      <c r="E8" s="67"/>
      <c r="F8" s="78" t="s">
        <v>65</v>
      </c>
      <c r="G8" s="79">
        <v>52.0</v>
      </c>
      <c r="H8" s="67"/>
      <c r="I8" s="67"/>
      <c r="J8" s="67"/>
      <c r="K8" s="67"/>
      <c r="L8" s="67"/>
      <c r="M8" s="67"/>
      <c r="N8" s="67"/>
      <c r="O8" s="67"/>
    </row>
    <row r="9">
      <c r="A9" s="54">
        <v>46006.0</v>
      </c>
      <c r="B9" s="21">
        <f>VLOOKUP(A9,'CAPM Regression Data (weekly ex'!A:G,6,0)</f>
        <v>-0.01762599817</v>
      </c>
      <c r="C9" s="21">
        <f>vlookup(A9,'CAPM Regression Data (weekly ex'!A:G,7,0)</f>
        <v>0.0002769226826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</row>
    <row r="10">
      <c r="A10" s="54">
        <v>45999.0</v>
      </c>
      <c r="B10" s="21">
        <f>VLOOKUP(A10,'CAPM Regression Data (weekly ex'!A:G,6,0)</f>
        <v>-0.01734630505</v>
      </c>
      <c r="C10" s="21">
        <f>vlookup(A10,'CAPM Regression Data (weekly ex'!A:G,7,0)</f>
        <v>-0.007018816058</v>
      </c>
      <c r="E10" s="67"/>
      <c r="F10" s="76" t="s">
        <v>66</v>
      </c>
      <c r="I10" s="67"/>
      <c r="J10" s="67"/>
      <c r="K10" s="67"/>
      <c r="L10" s="67"/>
      <c r="M10" s="67"/>
      <c r="N10" s="67"/>
      <c r="O10" s="67"/>
    </row>
    <row r="11">
      <c r="A11" s="54">
        <v>45992.0</v>
      </c>
      <c r="B11" s="21">
        <f>VLOOKUP(A11,'CAPM Regression Data (weekly ex'!A:G,6,0)</f>
        <v>0.03092413961</v>
      </c>
      <c r="C11" s="21">
        <f>vlookup(A11,'CAPM Regression Data (weekly ex'!A:G,7,0)</f>
        <v>0.002349823778</v>
      </c>
      <c r="E11" s="67"/>
      <c r="F11" s="80"/>
      <c r="G11" s="77" t="s">
        <v>67</v>
      </c>
      <c r="H11" s="77" t="s">
        <v>68</v>
      </c>
      <c r="I11" s="77" t="s">
        <v>69</v>
      </c>
      <c r="J11" s="77" t="s">
        <v>70</v>
      </c>
      <c r="K11" s="77" t="s">
        <v>71</v>
      </c>
      <c r="L11" s="67"/>
      <c r="M11" s="67"/>
      <c r="N11" s="67"/>
      <c r="O11" s="67"/>
    </row>
    <row r="12">
      <c r="A12" s="54">
        <v>45985.0</v>
      </c>
      <c r="B12" s="21">
        <f>VLOOKUP(A12,'CAPM Regression Data (weekly ex'!A:G,6,0)</f>
        <v>0.03739635628</v>
      </c>
      <c r="C12" s="21">
        <f>vlookup(A12,'CAPM Regression Data (weekly ex'!A:G,7,0)</f>
        <v>0.03650945544</v>
      </c>
      <c r="E12" s="67"/>
      <c r="F12" s="76" t="s">
        <v>72</v>
      </c>
      <c r="G12" s="81">
        <v>1.0</v>
      </c>
      <c r="H12" s="76">
        <v>0.0539621581684579</v>
      </c>
      <c r="I12" s="76">
        <v>0.0539621581684579</v>
      </c>
      <c r="J12" s="76">
        <v>33.929471836882</v>
      </c>
      <c r="K12" s="82">
        <v>4.0904819402169E-7</v>
      </c>
      <c r="N12" s="67"/>
      <c r="O12" s="67"/>
    </row>
    <row r="13">
      <c r="A13" s="54">
        <v>45978.0</v>
      </c>
      <c r="B13" s="21">
        <f>VLOOKUP(A13,'CAPM Regression Data (weekly ex'!A:G,6,0)</f>
        <v>-0.03812695961</v>
      </c>
      <c r="C13" s="21">
        <f>vlookup(A13,'CAPM Regression Data (weekly ex'!A:G,7,0)</f>
        <v>-0.02023255987</v>
      </c>
      <c r="E13" s="67"/>
      <c r="F13" s="76" t="s">
        <v>73</v>
      </c>
      <c r="G13" s="81">
        <v>50.0</v>
      </c>
      <c r="H13" s="76">
        <v>0.0795210701007729</v>
      </c>
      <c r="I13" s="76">
        <v>0.00159042140201546</v>
      </c>
      <c r="L13" s="67"/>
      <c r="M13" s="67"/>
      <c r="N13" s="67"/>
      <c r="O13" s="67"/>
    </row>
    <row r="14">
      <c r="A14" s="54">
        <v>45971.0</v>
      </c>
      <c r="B14" s="21">
        <f>VLOOKUP(A14,'CAPM Regression Data (weekly ex'!A:G,6,0)</f>
        <v>0.04632068966</v>
      </c>
      <c r="C14" s="21">
        <f>vlookup(A14,'CAPM Regression Data (weekly ex'!A:G,7,0)</f>
        <v>0.0000276067055</v>
      </c>
      <c r="E14" s="67"/>
      <c r="F14" s="78" t="s">
        <v>74</v>
      </c>
      <c r="G14" s="79">
        <v>51.0</v>
      </c>
      <c r="H14" s="78">
        <v>0.133483228269231</v>
      </c>
      <c r="I14" s="74"/>
      <c r="J14" s="83"/>
      <c r="K14" s="83"/>
      <c r="L14" s="67"/>
      <c r="M14" s="67"/>
      <c r="N14" s="67"/>
      <c r="O14" s="67"/>
    </row>
    <row r="15">
      <c r="A15" s="54">
        <v>45964.0</v>
      </c>
      <c r="B15" s="21">
        <f>VLOOKUP(A15,'CAPM Regression Data (weekly ex'!A:G,6,0)</f>
        <v>-0.004066231125</v>
      </c>
      <c r="C15" s="21">
        <f>vlookup(A15,'CAPM Regression Data (weekly ex'!A:G,7,0)</f>
        <v>-0.01704761197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</row>
    <row r="16">
      <c r="A16" s="54">
        <v>45957.0</v>
      </c>
      <c r="B16" s="21">
        <f>VLOOKUP(A16,'CAPM Regression Data (weekly ex'!A:G,6,0)</f>
        <v>0.02361219207</v>
      </c>
      <c r="C16" s="21">
        <f>vlookup(A16,'CAPM Regression Data (weekly ex'!A:G,7,0)</f>
        <v>0.006381013687</v>
      </c>
      <c r="E16" s="67"/>
      <c r="F16" s="80"/>
      <c r="G16" s="77" t="s">
        <v>75</v>
      </c>
      <c r="H16" s="77" t="s">
        <v>64</v>
      </c>
      <c r="I16" s="77" t="s">
        <v>76</v>
      </c>
      <c r="J16" s="77" t="s">
        <v>77</v>
      </c>
      <c r="K16" s="77" t="s">
        <v>78</v>
      </c>
      <c r="L16" s="77" t="s">
        <v>79</v>
      </c>
      <c r="M16" s="77" t="s">
        <v>80</v>
      </c>
      <c r="N16" s="77" t="s">
        <v>81</v>
      </c>
      <c r="O16" s="67"/>
    </row>
    <row r="17">
      <c r="A17" s="54">
        <v>45950.0</v>
      </c>
      <c r="B17" s="21">
        <f>VLOOKUP(A17,'CAPM Regression Data (weekly ex'!A:G,6,0)</f>
        <v>-0.01609487179</v>
      </c>
      <c r="C17" s="21">
        <f>vlookup(A17,'CAPM Regression Data (weekly ex'!A:G,7,0)</f>
        <v>0.01839809665</v>
      </c>
      <c r="E17" s="67"/>
      <c r="F17" s="76" t="s">
        <v>82</v>
      </c>
      <c r="G17" s="76">
        <v>0.00544698650229651</v>
      </c>
      <c r="H17" s="76">
        <v>0.00555524796087421</v>
      </c>
      <c r="I17" s="76">
        <v>0.98051185845525</v>
      </c>
      <c r="J17" s="76">
        <v>0.331554238170218</v>
      </c>
      <c r="K17" s="76">
        <v>-0.00571105740949656</v>
      </c>
      <c r="L17" s="76">
        <v>0.0166050304140896</v>
      </c>
      <c r="M17" s="76">
        <v>-0.00571105740949656</v>
      </c>
      <c r="N17" s="76">
        <v>0.0166050304140896</v>
      </c>
    </row>
    <row r="18">
      <c r="A18" s="54">
        <v>45943.0</v>
      </c>
      <c r="B18" s="21">
        <f>VLOOKUP(A18,'CAPM Regression Data (weekly ex'!A:G,6,0)</f>
        <v>0.0252302536</v>
      </c>
      <c r="C18" s="21">
        <f>vlookup(A18,'CAPM Regression Data (weekly ex'!A:G,7,0)</f>
        <v>0.01625484152</v>
      </c>
      <c r="E18" s="67"/>
      <c r="F18" s="78" t="s">
        <v>83</v>
      </c>
      <c r="G18" s="78">
        <v>1.38551134042318</v>
      </c>
      <c r="H18" s="78">
        <v>0.237860066086553</v>
      </c>
      <c r="I18" s="78">
        <v>5.82490101520034</v>
      </c>
      <c r="J18" s="84">
        <v>4.09048194021695E-7</v>
      </c>
      <c r="K18" s="78">
        <v>0.907755337280148</v>
      </c>
      <c r="L18" s="78">
        <v>1.86326734356622</v>
      </c>
      <c r="M18" s="78">
        <v>0.907755337280148</v>
      </c>
      <c r="N18" s="78">
        <v>1.86326734356622</v>
      </c>
      <c r="O18" s="67"/>
    </row>
    <row r="19">
      <c r="A19" s="54">
        <v>45936.0</v>
      </c>
      <c r="B19" s="21">
        <f>VLOOKUP(A19,'CAPM Regression Data (weekly ex'!A:G,6,0)</f>
        <v>-0.07309656384</v>
      </c>
      <c r="C19" s="21">
        <f>vlookup(A19,'CAPM Regression Data (weekly ex'!A:G,7,0)</f>
        <v>-0.02507438922</v>
      </c>
    </row>
    <row r="20">
      <c r="A20" s="54">
        <v>45929.0</v>
      </c>
      <c r="B20" s="21">
        <f>VLOOKUP(A20,'CAPM Regression Data (weekly ex'!A:G,6,0)</f>
        <v>-0.01821789756</v>
      </c>
      <c r="C20" s="21">
        <f>vlookup(A20,'CAPM Regression Data (weekly ex'!A:G,7,0)</f>
        <v>0.01008934282</v>
      </c>
      <c r="M20" s="47" t="s">
        <v>84</v>
      </c>
    </row>
    <row r="21">
      <c r="A21" s="54">
        <v>45922.0</v>
      </c>
      <c r="B21" s="21">
        <f>VLOOKUP(A21,'CAPM Regression Data (weekly ex'!A:G,6,0)</f>
        <v>0.01122584324</v>
      </c>
      <c r="C21" s="21">
        <f>vlookup(A21,'CAPM Regression Data (weekly ex'!A:G,7,0)</f>
        <v>-0.003861611087</v>
      </c>
    </row>
    <row r="22">
      <c r="A22" s="54">
        <v>45915.0</v>
      </c>
      <c r="B22" s="21">
        <f>VLOOKUP(A22,'CAPM Regression Data (weekly ex'!A:G,6,0)</f>
        <v>0.01722176276</v>
      </c>
      <c r="C22" s="21">
        <f>vlookup(A22,'CAPM Regression Data (weekly ex'!A:G,7,0)</f>
        <v>0.01139922602</v>
      </c>
    </row>
    <row r="23">
      <c r="A23" s="54">
        <v>45908.0</v>
      </c>
      <c r="B23" s="21">
        <f>VLOOKUP(A23,'CAPM Regression Data (weekly ex'!A:G,6,0)</f>
        <v>0.01888482696</v>
      </c>
      <c r="C23" s="21">
        <f>vlookup(A23,'CAPM Regression Data (weekly ex'!A:G,7,0)</f>
        <v>0.0150974448</v>
      </c>
    </row>
    <row r="24">
      <c r="A24" s="54">
        <v>45901.0</v>
      </c>
      <c r="B24" s="21">
        <f>VLOOKUP(A24,'CAPM Regression Data (weekly ex'!A:G,6,0)</f>
        <v>-0.002069582935</v>
      </c>
      <c r="C24" s="21">
        <f>vlookup(A24,'CAPM Regression Data (weekly ex'!A:G,7,0)</f>
        <v>0.002526254909</v>
      </c>
    </row>
    <row r="25">
      <c r="A25" s="54">
        <v>45894.0</v>
      </c>
      <c r="B25" s="21">
        <f>VLOOKUP(A25,'CAPM Regression Data (weekly ex'!A:G,6,0)</f>
        <v>-0.02063333333</v>
      </c>
      <c r="C25" s="21">
        <f>vlookup(A25,'CAPM Regression Data (weekly ex'!A:G,7,0)</f>
        <v>-0.001789850283</v>
      </c>
    </row>
    <row r="26">
      <c r="A26" s="54">
        <v>45887.0</v>
      </c>
      <c r="B26" s="21">
        <f>VLOOKUP(A26,'CAPM Regression Data (weekly ex'!A:G,6,0)</f>
        <v>-0.01962946299</v>
      </c>
      <c r="C26" s="21">
        <f>vlookup(A26,'CAPM Regression Data (weekly ex'!A:G,7,0)</f>
        <v>0.001891256974</v>
      </c>
    </row>
    <row r="27">
      <c r="A27" s="54">
        <v>45880.0</v>
      </c>
      <c r="B27" s="21">
        <f>VLOOKUP(A27,'CAPM Regression Data (weekly ex'!A:G,6,0)</f>
        <v>0.09127142857</v>
      </c>
      <c r="C27" s="21">
        <f>vlookup(A27,'CAPM Regression Data (weekly ex'!A:G,7,0)</f>
        <v>0.008683718955</v>
      </c>
    </row>
    <row r="28">
      <c r="A28" s="54">
        <v>45873.0</v>
      </c>
      <c r="B28" s="21">
        <f>VLOOKUP(A28,'CAPM Regression Data (weekly ex'!A:G,6,0)</f>
        <v>0.04521547303</v>
      </c>
      <c r="C28" s="21">
        <f>vlookup(A28,'CAPM Regression Data (weekly ex'!A:G,7,0)</f>
        <v>0.02351543448</v>
      </c>
    </row>
    <row r="29">
      <c r="A29" s="54">
        <v>45866.0</v>
      </c>
      <c r="B29" s="21">
        <f>VLOOKUP(A29,'CAPM Regression Data (weekly ex'!A:G,6,0)</f>
        <v>-0.05188628284</v>
      </c>
      <c r="C29" s="21">
        <f>vlookup(A29,'CAPM Regression Data (weekly ex'!A:G,7,0)</f>
        <v>-0.02433932654</v>
      </c>
    </row>
    <row r="30">
      <c r="A30" s="54">
        <v>45859.0</v>
      </c>
      <c r="B30" s="21">
        <f>VLOOKUP(A30,'CAPM Regression Data (weekly ex'!A:G,6,0)</f>
        <v>0.1030759333</v>
      </c>
      <c r="C30" s="21">
        <f>vlookup(A30,'CAPM Regression Data (weekly ex'!A:G,7,0)</f>
        <v>0.01382525894</v>
      </c>
    </row>
    <row r="31">
      <c r="A31" s="54">
        <v>45852.0</v>
      </c>
      <c r="B31" s="21">
        <f>VLOOKUP(A31,'CAPM Regression Data (weekly ex'!A:G,6,0)</f>
        <v>-0.02997994606</v>
      </c>
      <c r="C31" s="21">
        <f>vlookup(A31,'CAPM Regression Data (weekly ex'!A:G,7,0)</f>
        <v>0.005155630754</v>
      </c>
    </row>
    <row r="32">
      <c r="A32" s="54">
        <v>45845.0</v>
      </c>
      <c r="B32" s="21">
        <f>VLOOKUP(A32,'CAPM Regression Data (weekly ex'!A:G,6,0)</f>
        <v>-0.02010251267</v>
      </c>
      <c r="C32" s="21">
        <f>vlookup(A32,'CAPM Regression Data (weekly ex'!A:G,7,0)</f>
        <v>-0.003882880639</v>
      </c>
    </row>
    <row r="33">
      <c r="A33" s="54">
        <v>45838.0</v>
      </c>
      <c r="B33" s="21">
        <f>VLOOKUP(A33,'CAPM Regression Data (weekly ex'!A:G,6,0)</f>
        <v>0.004278058371</v>
      </c>
      <c r="C33" s="21">
        <f>vlookup(A33,'CAPM Regression Data (weekly ex'!A:G,7,0)</f>
        <v>0.01645517867</v>
      </c>
    </row>
    <row r="34">
      <c r="A34" s="54">
        <v>45831.0</v>
      </c>
      <c r="B34" s="21">
        <f>VLOOKUP(A34,'CAPM Regression Data (weekly ex'!A:G,6,0)</f>
        <v>0.02736577464</v>
      </c>
      <c r="C34" s="21">
        <f>vlookup(A34,'CAPM Regression Data (weekly ex'!A:G,7,0)</f>
        <v>0.03362778833</v>
      </c>
    </row>
    <row r="35">
      <c r="A35" s="54">
        <v>45824.0</v>
      </c>
      <c r="B35" s="21">
        <f>VLOOKUP(A35,'CAPM Regression Data (weekly ex'!A:G,6,0)</f>
        <v>-0.008109077036</v>
      </c>
      <c r="C35" s="21">
        <f>vlookup(A35,'CAPM Regression Data (weekly ex'!A:G,7,0)</f>
        <v>-0.002289068297</v>
      </c>
    </row>
    <row r="36">
      <c r="A36" s="54">
        <v>45817.0</v>
      </c>
      <c r="B36" s="21">
        <f>VLOOKUP(A36,'CAPM Regression Data (weekly ex'!A:G,6,0)</f>
        <v>-0.01738003557</v>
      </c>
      <c r="C36" s="21">
        <f>vlookup(A36,'CAPM Regression Data (weekly ex'!A:G,7,0)</f>
        <v>-0.004659637909</v>
      </c>
    </row>
    <row r="37">
      <c r="A37" s="54">
        <v>45810.0</v>
      </c>
      <c r="B37" s="21">
        <f>VLOOKUP(A37,'CAPM Regression Data (weekly ex'!A:G,6,0)</f>
        <v>-0.02059156679</v>
      </c>
      <c r="C37" s="21">
        <f>vlookup(A37,'CAPM Regression Data (weekly ex'!A:G,7,0)</f>
        <v>0.01423755655</v>
      </c>
    </row>
    <row r="38">
      <c r="A38" s="54">
        <v>45803.0</v>
      </c>
      <c r="B38" s="21">
        <f>VLOOKUP(A38,'CAPM Regression Data (weekly ex'!A:G,6,0)</f>
        <v>0.0420745029</v>
      </c>
      <c r="C38" s="21">
        <f>vlookup(A38,'CAPM Regression Data (weekly ex'!A:G,7,0)</f>
        <v>0.01800002919</v>
      </c>
    </row>
    <row r="39">
      <c r="A39" s="54">
        <v>45796.0</v>
      </c>
      <c r="B39" s="21">
        <f>VLOOKUP(A39,'CAPM Regression Data (weekly ex'!A:G,6,0)</f>
        <v>-0.0007615384615</v>
      </c>
      <c r="C39" s="21">
        <f>vlookup(A39,'CAPM Regression Data (weekly ex'!A:G,7,0)</f>
        <v>-0.02686930601</v>
      </c>
    </row>
    <row r="40">
      <c r="A40" s="54">
        <v>45789.0</v>
      </c>
      <c r="B40" s="21">
        <f>VLOOKUP(A40,'CAPM Regression Data (weekly ex'!A:G,6,0)</f>
        <v>0.07984500583</v>
      </c>
      <c r="C40" s="21">
        <f>vlookup(A40,'CAPM Regression Data (weekly ex'!A:G,7,0)</f>
        <v>0.05197251561</v>
      </c>
    </row>
    <row r="41">
      <c r="A41" s="54">
        <v>45782.0</v>
      </c>
      <c r="B41" s="21">
        <f>VLOOKUP(A41,'CAPM Regression Data (weekly ex'!A:G,6,0)</f>
        <v>0.01793764853</v>
      </c>
      <c r="C41" s="21">
        <f>vlookup(A41,'CAPM Regression Data (weekly ex'!A:G,7,0)</f>
        <v>-0.005467280135</v>
      </c>
    </row>
    <row r="42">
      <c r="A42" s="54">
        <v>45775.0</v>
      </c>
      <c r="B42" s="21">
        <f>VLOOKUP(A42,'CAPM Regression Data (weekly ex'!A:G,6,0)</f>
        <v>0.001683449314</v>
      </c>
      <c r="C42" s="21">
        <f>vlookup(A42,'CAPM Regression Data (weekly ex'!A:G,7,0)</f>
        <v>0.02846088023</v>
      </c>
    </row>
    <row r="43">
      <c r="A43" s="54">
        <v>45768.0</v>
      </c>
      <c r="B43" s="21">
        <f>VLOOKUP(A43,'CAPM Regression Data (weekly ex'!A:G,6,0)</f>
        <v>0.03293686086</v>
      </c>
      <c r="C43" s="21">
        <f>vlookup(A43,'CAPM Regression Data (weekly ex'!A:G,7,0)</f>
        <v>0.04514491089</v>
      </c>
    </row>
    <row r="44">
      <c r="A44" s="54">
        <v>45761.0</v>
      </c>
      <c r="B44" s="21">
        <f>VLOOKUP(A44,'CAPM Regression Data (weekly ex'!A:G,6,0)</f>
        <v>0.02339721909</v>
      </c>
      <c r="C44" s="21">
        <f>vlookup(A44,'CAPM Regression Data (weekly ex'!A:G,7,0)</f>
        <v>-0.01580061844</v>
      </c>
    </row>
    <row r="45">
      <c r="A45" s="54">
        <v>45754.0</v>
      </c>
      <c r="B45" s="21">
        <f>VLOOKUP(A45,'CAPM Regression Data (weekly ex'!A:G,6,0)</f>
        <v>0.06744122652</v>
      </c>
      <c r="C45" s="21">
        <f>vlookup(A45,'CAPM Regression Data (weekly ex'!A:G,7,0)</f>
        <v>0.05624978182</v>
      </c>
    </row>
    <row r="46">
      <c r="A46" s="54">
        <v>45747.0</v>
      </c>
      <c r="B46" s="21">
        <f>VLOOKUP(A46,'CAPM Regression Data (weekly ex'!A:G,6,0)</f>
        <v>-0.2093683948</v>
      </c>
      <c r="C46" s="21">
        <f>vlookup(A46,'CAPM Regression Data (weekly ex'!A:G,7,0)</f>
        <v>-0.09158136451</v>
      </c>
    </row>
    <row r="47">
      <c r="A47" s="54">
        <v>45740.0</v>
      </c>
      <c r="B47" s="21">
        <f>VLOOKUP(A47,'CAPM Regression Data (weekly ex'!A:G,6,0)</f>
        <v>-0.06747358747</v>
      </c>
      <c r="C47" s="21">
        <f>vlookup(A47,'CAPM Regression Data (weekly ex'!A:G,7,0)</f>
        <v>-0.01604501142</v>
      </c>
    </row>
    <row r="48">
      <c r="A48" s="54">
        <v>45733.0</v>
      </c>
      <c r="B48" s="21">
        <f>VLOOKUP(A48,'CAPM Regression Data (weekly ex'!A:G,6,0)</f>
        <v>0.09550711825</v>
      </c>
      <c r="C48" s="21">
        <f>vlookup(A48,'CAPM Regression Data (weekly ex'!A:G,7,0)</f>
        <v>0.004313883515</v>
      </c>
    </row>
    <row r="49">
      <c r="A49" s="54">
        <v>45726.0</v>
      </c>
      <c r="B49" s="21">
        <f>VLOOKUP(A49,'CAPM Regression Data (weekly ex'!A:G,6,0)</f>
        <v>0.04857283899</v>
      </c>
      <c r="C49" s="21">
        <f>vlookup(A49,'CAPM Regression Data (weekly ex'!A:G,7,0)</f>
        <v>-0.02350945015</v>
      </c>
    </row>
    <row r="50">
      <c r="A50" s="54">
        <v>45719.0</v>
      </c>
      <c r="B50" s="21">
        <f>VLOOKUP(A50,'CAPM Regression Data (weekly ex'!A:G,6,0)</f>
        <v>0.02165639589</v>
      </c>
      <c r="C50" s="21">
        <f>vlookup(A50,'CAPM Regression Data (weekly ex'!A:G,7,0)</f>
        <v>-0.03171291977</v>
      </c>
    </row>
    <row r="51">
      <c r="A51" s="54">
        <v>45712.0</v>
      </c>
      <c r="B51" s="21">
        <f>VLOOKUP(A51,'CAPM Regression Data (weekly ex'!A:G,6,0)</f>
        <v>0.006496526055</v>
      </c>
      <c r="C51" s="21">
        <f>vlookup(A51,'CAPM Regression Data (weekly ex'!A:G,7,0)</f>
        <v>-0.01051186816</v>
      </c>
    </row>
    <row r="52">
      <c r="A52" s="54">
        <v>45705.0</v>
      </c>
      <c r="B52" s="21">
        <f>VLOOKUP(A52,'CAPM Regression Data (weekly ex'!A:G,6,0)</f>
        <v>-0.01350039196</v>
      </c>
      <c r="C52" s="21">
        <f>vlookup(A52,'CAPM Regression Data (weekly ex'!A:G,7,0)</f>
        <v>-0.01736107106</v>
      </c>
    </row>
    <row r="53">
      <c r="A53" s="54">
        <v>45698.0</v>
      </c>
      <c r="B53" s="21">
        <f>VLOOKUP(A53,'CAPM Regression Data (weekly ex'!A:G,6,0)</f>
        <v>0.02037667292</v>
      </c>
      <c r="C53" s="21">
        <f>vlookup(A53,'CAPM Regression Data (weekly ex'!A:G,7,0)</f>
        <v>0.01394807772</v>
      </c>
    </row>
    <row r="54">
      <c r="A54" s="54"/>
    </row>
    <row r="55">
      <c r="A55" s="58"/>
    </row>
    <row r="56">
      <c r="A56" s="58"/>
    </row>
    <row r="57">
      <c r="A57" s="58"/>
    </row>
    <row r="58">
      <c r="A58" s="58"/>
    </row>
    <row r="59">
      <c r="A59" s="58"/>
    </row>
    <row r="60">
      <c r="A60" s="58"/>
    </row>
    <row r="61">
      <c r="A61" s="58"/>
    </row>
    <row r="62">
      <c r="A62" s="58"/>
    </row>
    <row r="63">
      <c r="A63" s="58"/>
    </row>
    <row r="64">
      <c r="A64" s="58"/>
    </row>
    <row r="65">
      <c r="A65" s="58"/>
    </row>
    <row r="66">
      <c r="A66" s="58"/>
    </row>
    <row r="67">
      <c r="A67" s="58"/>
    </row>
    <row r="68">
      <c r="A68" s="58"/>
    </row>
    <row r="69">
      <c r="A69" s="58"/>
    </row>
    <row r="70">
      <c r="A70" s="58"/>
    </row>
    <row r="71">
      <c r="A71" s="58"/>
    </row>
    <row r="72">
      <c r="A72" s="58"/>
    </row>
    <row r="73">
      <c r="A73" s="58"/>
    </row>
    <row r="74">
      <c r="A74" s="58"/>
    </row>
    <row r="75">
      <c r="A75" s="58"/>
    </row>
    <row r="76">
      <c r="A76" s="58"/>
    </row>
    <row r="77">
      <c r="A77" s="58"/>
    </row>
    <row r="78">
      <c r="A78" s="58"/>
    </row>
    <row r="79">
      <c r="A79" s="58"/>
    </row>
    <row r="80">
      <c r="A80" s="58"/>
    </row>
    <row r="81">
      <c r="A81" s="58"/>
    </row>
    <row r="82">
      <c r="A82" s="58"/>
    </row>
    <row r="83">
      <c r="A83" s="58"/>
    </row>
    <row r="84">
      <c r="A84" s="58"/>
    </row>
    <row r="85">
      <c r="A85" s="58"/>
    </row>
    <row r="86">
      <c r="A86" s="58"/>
    </row>
    <row r="87">
      <c r="A87" s="58"/>
    </row>
    <row r="88">
      <c r="A88" s="58"/>
    </row>
    <row r="89">
      <c r="A89" s="58"/>
    </row>
    <row r="90">
      <c r="A90" s="58"/>
    </row>
    <row r="91">
      <c r="A91" s="58"/>
    </row>
    <row r="92">
      <c r="A92" s="58"/>
    </row>
    <row r="93">
      <c r="A93" s="58"/>
    </row>
    <row r="94">
      <c r="A94" s="58"/>
    </row>
    <row r="95">
      <c r="A95" s="58"/>
    </row>
    <row r="96">
      <c r="A96" s="58"/>
    </row>
    <row r="97">
      <c r="A97" s="58"/>
    </row>
    <row r="98">
      <c r="A98" s="58"/>
    </row>
    <row r="99">
      <c r="A99" s="58"/>
    </row>
    <row r="100">
      <c r="A100" s="58"/>
    </row>
    <row r="101">
      <c r="A101" s="58"/>
    </row>
    <row r="102">
      <c r="A102" s="58"/>
    </row>
    <row r="103">
      <c r="A103" s="58"/>
    </row>
    <row r="104">
      <c r="A104" s="58"/>
    </row>
    <row r="105">
      <c r="A105" s="58"/>
    </row>
    <row r="106">
      <c r="A106" s="58"/>
    </row>
    <row r="107">
      <c r="A107" s="58"/>
    </row>
    <row r="108">
      <c r="A108" s="58"/>
    </row>
    <row r="109">
      <c r="A109" s="58"/>
    </row>
    <row r="110">
      <c r="A110" s="58"/>
    </row>
    <row r="111">
      <c r="A111" s="58"/>
    </row>
    <row r="112">
      <c r="A112" s="58"/>
    </row>
    <row r="113">
      <c r="A113" s="58"/>
    </row>
    <row r="114">
      <c r="A114" s="58"/>
    </row>
    <row r="115">
      <c r="A115" s="58"/>
    </row>
    <row r="116">
      <c r="A116" s="58"/>
    </row>
    <row r="117">
      <c r="A117" s="58"/>
    </row>
    <row r="118">
      <c r="A118" s="58"/>
    </row>
    <row r="119">
      <c r="A119" s="58"/>
    </row>
    <row r="120">
      <c r="A120" s="58"/>
    </row>
    <row r="121">
      <c r="A121" s="58"/>
    </row>
    <row r="122">
      <c r="A122" s="58"/>
    </row>
    <row r="123">
      <c r="A123" s="58"/>
    </row>
    <row r="124">
      <c r="A124" s="58"/>
    </row>
    <row r="125">
      <c r="A125" s="58"/>
    </row>
    <row r="126">
      <c r="A126" s="58"/>
    </row>
    <row r="127">
      <c r="A127" s="58"/>
    </row>
    <row r="128">
      <c r="A128" s="58"/>
    </row>
    <row r="129">
      <c r="A129" s="58"/>
    </row>
    <row r="130">
      <c r="A130" s="58"/>
    </row>
    <row r="131">
      <c r="A131" s="58"/>
    </row>
    <row r="132">
      <c r="A132" s="58"/>
    </row>
    <row r="133">
      <c r="A133" s="58"/>
    </row>
    <row r="134">
      <c r="A134" s="58"/>
    </row>
    <row r="135">
      <c r="A135" s="58"/>
    </row>
    <row r="136">
      <c r="A136" s="58"/>
    </row>
    <row r="137">
      <c r="A137" s="58"/>
    </row>
    <row r="138">
      <c r="A138" s="58"/>
    </row>
    <row r="139">
      <c r="A139" s="58"/>
    </row>
    <row r="140">
      <c r="A140" s="58"/>
    </row>
    <row r="141">
      <c r="A141" s="58"/>
    </row>
    <row r="142">
      <c r="A142" s="58"/>
    </row>
    <row r="143">
      <c r="A143" s="58"/>
    </row>
    <row r="144">
      <c r="A144" s="58"/>
    </row>
    <row r="145">
      <c r="A145" s="58"/>
    </row>
    <row r="146">
      <c r="A146" s="58"/>
    </row>
    <row r="147">
      <c r="A147" s="58"/>
    </row>
    <row r="148">
      <c r="A148" s="58"/>
    </row>
    <row r="149">
      <c r="A149" s="58"/>
    </row>
    <row r="150">
      <c r="A150" s="58"/>
    </row>
    <row r="151">
      <c r="A151" s="58"/>
    </row>
    <row r="152">
      <c r="A152" s="58"/>
    </row>
    <row r="153">
      <c r="A153" s="58"/>
    </row>
    <row r="154">
      <c r="A154" s="58"/>
    </row>
    <row r="155">
      <c r="A155" s="58"/>
    </row>
    <row r="156">
      <c r="A156" s="58"/>
    </row>
    <row r="157">
      <c r="A157" s="58"/>
    </row>
    <row r="158">
      <c r="A158" s="58"/>
    </row>
    <row r="159">
      <c r="A159" s="58"/>
    </row>
    <row r="160">
      <c r="A160" s="58"/>
    </row>
    <row r="161">
      <c r="A161" s="58"/>
    </row>
    <row r="162">
      <c r="A162" s="58"/>
    </row>
    <row r="163">
      <c r="A163" s="58"/>
    </row>
    <row r="164">
      <c r="A164" s="58"/>
    </row>
    <row r="165">
      <c r="A165" s="58"/>
    </row>
    <row r="166">
      <c r="A166" s="58"/>
    </row>
    <row r="167">
      <c r="A167" s="58"/>
    </row>
    <row r="168">
      <c r="A168" s="58"/>
    </row>
    <row r="169">
      <c r="A169" s="58"/>
    </row>
    <row r="170">
      <c r="A170" s="58"/>
    </row>
    <row r="171">
      <c r="A171" s="58"/>
    </row>
    <row r="172">
      <c r="A172" s="58"/>
    </row>
    <row r="173">
      <c r="A173" s="58"/>
    </row>
    <row r="174">
      <c r="A174" s="58"/>
    </row>
    <row r="175">
      <c r="A175" s="58"/>
    </row>
    <row r="176">
      <c r="A176" s="58"/>
    </row>
    <row r="177">
      <c r="A177" s="58"/>
    </row>
    <row r="178">
      <c r="A178" s="58"/>
    </row>
    <row r="179">
      <c r="A179" s="58"/>
    </row>
    <row r="180">
      <c r="A180" s="58"/>
    </row>
    <row r="181">
      <c r="A181" s="58"/>
    </row>
    <row r="182">
      <c r="A182" s="58"/>
    </row>
    <row r="183">
      <c r="A183" s="58"/>
    </row>
    <row r="184">
      <c r="A184" s="58"/>
    </row>
    <row r="185">
      <c r="A185" s="58"/>
    </row>
    <row r="186">
      <c r="A186" s="58"/>
    </row>
    <row r="187">
      <c r="A187" s="58"/>
    </row>
    <row r="188">
      <c r="A188" s="58"/>
    </row>
    <row r="189">
      <c r="A189" s="58"/>
    </row>
    <row r="190">
      <c r="A190" s="58"/>
    </row>
    <row r="191">
      <c r="A191" s="58"/>
    </row>
    <row r="192">
      <c r="A192" s="58"/>
    </row>
    <row r="193">
      <c r="A193" s="58"/>
    </row>
    <row r="194">
      <c r="A194" s="58"/>
    </row>
    <row r="195">
      <c r="A195" s="58"/>
    </row>
    <row r="196">
      <c r="A196" s="58"/>
    </row>
    <row r="197">
      <c r="A197" s="58"/>
    </row>
    <row r="198">
      <c r="A198" s="58"/>
    </row>
    <row r="199">
      <c r="A199" s="58"/>
    </row>
    <row r="200">
      <c r="A200" s="58"/>
    </row>
    <row r="201">
      <c r="A201" s="58"/>
    </row>
    <row r="202">
      <c r="A202" s="58"/>
    </row>
    <row r="203">
      <c r="A203" s="58"/>
    </row>
    <row r="204">
      <c r="A204" s="58"/>
    </row>
    <row r="205">
      <c r="A205" s="58"/>
    </row>
    <row r="206">
      <c r="A206" s="58"/>
    </row>
    <row r="207">
      <c r="A207" s="58"/>
    </row>
    <row r="208">
      <c r="A208" s="58"/>
    </row>
    <row r="209">
      <c r="A209" s="58"/>
    </row>
    <row r="210">
      <c r="A210" s="58"/>
    </row>
    <row r="211">
      <c r="A211" s="58"/>
    </row>
    <row r="212">
      <c r="A212" s="58"/>
    </row>
    <row r="213">
      <c r="A213" s="58"/>
    </row>
    <row r="214">
      <c r="A214" s="58"/>
    </row>
    <row r="215">
      <c r="A215" s="58"/>
    </row>
    <row r="216">
      <c r="A216" s="58"/>
    </row>
    <row r="217">
      <c r="A217" s="58"/>
    </row>
    <row r="218">
      <c r="A218" s="58"/>
    </row>
    <row r="219">
      <c r="A219" s="58"/>
    </row>
    <row r="220">
      <c r="A220" s="58"/>
    </row>
    <row r="221">
      <c r="A221" s="58"/>
    </row>
    <row r="222">
      <c r="A222" s="58"/>
    </row>
    <row r="223">
      <c r="A223" s="58"/>
    </row>
    <row r="224">
      <c r="A224" s="58"/>
    </row>
    <row r="225">
      <c r="A225" s="58"/>
    </row>
    <row r="226">
      <c r="A226" s="58"/>
    </row>
    <row r="227">
      <c r="A227" s="58"/>
    </row>
    <row r="228">
      <c r="A228" s="58"/>
    </row>
    <row r="229">
      <c r="A229" s="58"/>
    </row>
    <row r="230">
      <c r="A230" s="58"/>
    </row>
    <row r="231">
      <c r="A231" s="58"/>
    </row>
    <row r="232">
      <c r="A232" s="58"/>
    </row>
    <row r="233">
      <c r="A233" s="58"/>
    </row>
    <row r="234">
      <c r="A234" s="58"/>
    </row>
    <row r="235">
      <c r="A235" s="58"/>
    </row>
    <row r="236">
      <c r="A236" s="58"/>
    </row>
    <row r="237">
      <c r="A237" s="58"/>
    </row>
    <row r="238">
      <c r="A238" s="58"/>
    </row>
    <row r="239">
      <c r="A239" s="58"/>
    </row>
    <row r="240">
      <c r="A240" s="58"/>
    </row>
    <row r="241">
      <c r="A241" s="58"/>
    </row>
    <row r="242">
      <c r="A242" s="58"/>
    </row>
    <row r="243">
      <c r="A243" s="58"/>
    </row>
    <row r="244">
      <c r="A244" s="58"/>
    </row>
    <row r="245">
      <c r="A245" s="58"/>
    </row>
    <row r="246">
      <c r="A246" s="58"/>
    </row>
    <row r="247">
      <c r="A247" s="58"/>
    </row>
    <row r="248">
      <c r="A248" s="58"/>
    </row>
    <row r="249">
      <c r="A249" s="58"/>
    </row>
    <row r="250">
      <c r="A250" s="58"/>
    </row>
    <row r="251">
      <c r="A251" s="58"/>
    </row>
    <row r="252">
      <c r="A252" s="58"/>
    </row>
    <row r="253">
      <c r="A253" s="58"/>
    </row>
    <row r="254">
      <c r="A254" s="58"/>
    </row>
    <row r="255">
      <c r="A255" s="58"/>
    </row>
    <row r="256">
      <c r="A256" s="58"/>
    </row>
    <row r="257">
      <c r="A257" s="58"/>
    </row>
    <row r="258">
      <c r="A258" s="58"/>
    </row>
    <row r="259">
      <c r="A259" s="58"/>
    </row>
    <row r="260">
      <c r="A260" s="58"/>
    </row>
    <row r="261">
      <c r="A261" s="58"/>
    </row>
    <row r="262">
      <c r="A262" s="58"/>
    </row>
    <row r="263">
      <c r="A263" s="58"/>
    </row>
    <row r="264">
      <c r="A264" s="58"/>
    </row>
    <row r="265">
      <c r="A265" s="58"/>
    </row>
    <row r="266">
      <c r="A266" s="58"/>
    </row>
    <row r="267">
      <c r="A267" s="58"/>
    </row>
    <row r="268">
      <c r="A268" s="58"/>
    </row>
    <row r="269">
      <c r="A269" s="58"/>
    </row>
    <row r="270">
      <c r="A270" s="58"/>
    </row>
    <row r="271">
      <c r="A271" s="58"/>
    </row>
    <row r="272">
      <c r="A272" s="58"/>
    </row>
    <row r="273">
      <c r="A273" s="58"/>
    </row>
    <row r="274">
      <c r="A274" s="58"/>
    </row>
    <row r="275">
      <c r="A275" s="58"/>
    </row>
    <row r="276">
      <c r="A276" s="58"/>
    </row>
    <row r="277">
      <c r="A277" s="58"/>
    </row>
    <row r="278">
      <c r="A278" s="58"/>
    </row>
    <row r="279">
      <c r="A279" s="58"/>
    </row>
    <row r="280">
      <c r="A280" s="58"/>
    </row>
    <row r="281">
      <c r="A281" s="58"/>
    </row>
    <row r="282">
      <c r="A282" s="58"/>
    </row>
    <row r="283">
      <c r="A283" s="58"/>
    </row>
    <row r="284">
      <c r="A284" s="58"/>
    </row>
    <row r="285">
      <c r="A285" s="58"/>
    </row>
    <row r="286">
      <c r="A286" s="58"/>
    </row>
    <row r="287">
      <c r="A287" s="58"/>
    </row>
    <row r="288">
      <c r="A288" s="58"/>
    </row>
    <row r="289">
      <c r="A289" s="58"/>
    </row>
    <row r="290">
      <c r="A290" s="58"/>
    </row>
    <row r="291">
      <c r="A291" s="58"/>
    </row>
    <row r="292">
      <c r="A292" s="58"/>
    </row>
    <row r="293">
      <c r="A293" s="58"/>
    </row>
    <row r="294">
      <c r="A294" s="58"/>
    </row>
    <row r="295">
      <c r="A295" s="58"/>
    </row>
    <row r="296">
      <c r="A296" s="58"/>
    </row>
    <row r="297">
      <c r="A297" s="58"/>
    </row>
    <row r="298">
      <c r="A298" s="58"/>
    </row>
    <row r="299">
      <c r="A299" s="58"/>
    </row>
    <row r="300">
      <c r="A300" s="58"/>
    </row>
    <row r="301">
      <c r="A301" s="58"/>
    </row>
    <row r="302">
      <c r="A302" s="58"/>
    </row>
    <row r="303">
      <c r="A303" s="58"/>
    </row>
    <row r="304">
      <c r="A304" s="58"/>
    </row>
    <row r="305">
      <c r="A305" s="58"/>
    </row>
    <row r="306">
      <c r="A306" s="58"/>
    </row>
    <row r="307">
      <c r="A307" s="58"/>
    </row>
    <row r="308">
      <c r="A308" s="58"/>
    </row>
    <row r="309">
      <c r="A309" s="58"/>
    </row>
    <row r="310">
      <c r="A310" s="58"/>
    </row>
    <row r="311">
      <c r="A311" s="58"/>
    </row>
    <row r="312">
      <c r="A312" s="58"/>
    </row>
    <row r="313">
      <c r="A313" s="58"/>
    </row>
    <row r="314">
      <c r="A314" s="58"/>
    </row>
    <row r="315">
      <c r="A315" s="58"/>
    </row>
    <row r="316">
      <c r="A316" s="58"/>
    </row>
    <row r="317">
      <c r="A317" s="58"/>
    </row>
    <row r="318">
      <c r="A318" s="58"/>
    </row>
    <row r="319">
      <c r="A319" s="58"/>
    </row>
    <row r="320">
      <c r="A320" s="58"/>
    </row>
    <row r="321">
      <c r="A321" s="58"/>
    </row>
    <row r="322">
      <c r="A322" s="58"/>
    </row>
    <row r="323">
      <c r="A323" s="58"/>
    </row>
    <row r="324">
      <c r="A324" s="58"/>
    </row>
    <row r="325">
      <c r="A325" s="58"/>
    </row>
    <row r="326">
      <c r="A326" s="58"/>
    </row>
    <row r="327">
      <c r="A327" s="58"/>
    </row>
    <row r="328">
      <c r="A328" s="58"/>
    </row>
    <row r="329">
      <c r="A329" s="58"/>
    </row>
    <row r="330">
      <c r="A330" s="58"/>
    </row>
    <row r="331">
      <c r="A331" s="58"/>
    </row>
    <row r="332">
      <c r="A332" s="58"/>
    </row>
    <row r="333">
      <c r="A333" s="58"/>
    </row>
    <row r="334">
      <c r="A334" s="58"/>
    </row>
    <row r="335">
      <c r="A335" s="58"/>
    </row>
    <row r="336">
      <c r="A336" s="58"/>
    </row>
    <row r="337">
      <c r="A337" s="58"/>
    </row>
    <row r="338">
      <c r="A338" s="58"/>
    </row>
    <row r="339">
      <c r="A339" s="58"/>
    </row>
    <row r="340">
      <c r="A340" s="58"/>
    </row>
    <row r="341">
      <c r="A341" s="58"/>
    </row>
    <row r="342">
      <c r="A342" s="58"/>
    </row>
    <row r="343">
      <c r="A343" s="58"/>
    </row>
    <row r="344">
      <c r="A344" s="58"/>
    </row>
    <row r="345">
      <c r="A345" s="58"/>
    </row>
    <row r="346">
      <c r="A346" s="58"/>
    </row>
    <row r="347">
      <c r="A347" s="58"/>
    </row>
    <row r="348">
      <c r="A348" s="58"/>
    </row>
    <row r="349">
      <c r="A349" s="58"/>
    </row>
    <row r="350">
      <c r="A350" s="58"/>
    </row>
    <row r="351">
      <c r="A351" s="58"/>
    </row>
    <row r="352">
      <c r="A352" s="58"/>
    </row>
    <row r="353">
      <c r="A353" s="58"/>
    </row>
    <row r="354">
      <c r="A354" s="58"/>
    </row>
    <row r="355">
      <c r="A355" s="58"/>
    </row>
    <row r="356">
      <c r="A356" s="58"/>
    </row>
    <row r="357">
      <c r="A357" s="58"/>
    </row>
    <row r="358">
      <c r="A358" s="58"/>
    </row>
    <row r="359">
      <c r="A359" s="58"/>
    </row>
    <row r="360">
      <c r="A360" s="58"/>
    </row>
    <row r="361">
      <c r="A361" s="58"/>
    </row>
    <row r="362">
      <c r="A362" s="58"/>
    </row>
    <row r="363">
      <c r="A363" s="58"/>
    </row>
    <row r="364">
      <c r="A364" s="58"/>
    </row>
    <row r="365">
      <c r="A365" s="58"/>
    </row>
    <row r="366">
      <c r="A366" s="58"/>
    </row>
    <row r="367">
      <c r="A367" s="58"/>
    </row>
    <row r="368">
      <c r="A368" s="58"/>
    </row>
    <row r="369">
      <c r="A369" s="58"/>
    </row>
    <row r="370">
      <c r="A370" s="58"/>
    </row>
    <row r="371">
      <c r="A371" s="58"/>
    </row>
    <row r="372">
      <c r="A372" s="58"/>
    </row>
    <row r="373">
      <c r="A373" s="58"/>
    </row>
    <row r="374">
      <c r="A374" s="58"/>
    </row>
    <row r="375">
      <c r="A375" s="58"/>
    </row>
    <row r="376">
      <c r="A376" s="58"/>
    </row>
    <row r="377">
      <c r="A377" s="58"/>
    </row>
    <row r="378">
      <c r="A378" s="58"/>
    </row>
    <row r="379">
      <c r="A379" s="58"/>
    </row>
    <row r="380">
      <c r="A380" s="58"/>
    </row>
    <row r="381">
      <c r="A381" s="58"/>
    </row>
    <row r="382">
      <c r="A382" s="58"/>
    </row>
    <row r="383">
      <c r="A383" s="58"/>
    </row>
    <row r="384">
      <c r="A384" s="58"/>
    </row>
    <row r="385">
      <c r="A385" s="58"/>
    </row>
    <row r="386">
      <c r="A386" s="58"/>
    </row>
    <row r="387">
      <c r="A387" s="58"/>
    </row>
    <row r="388">
      <c r="A388" s="58"/>
    </row>
    <row r="389">
      <c r="A389" s="58"/>
    </row>
    <row r="390">
      <c r="A390" s="58"/>
    </row>
    <row r="391">
      <c r="A391" s="58"/>
    </row>
    <row r="392">
      <c r="A392" s="58"/>
    </row>
    <row r="393">
      <c r="A393" s="58"/>
    </row>
    <row r="394">
      <c r="A394" s="58"/>
    </row>
    <row r="395">
      <c r="A395" s="58"/>
    </row>
    <row r="396">
      <c r="A396" s="58"/>
    </row>
    <row r="397">
      <c r="A397" s="58"/>
    </row>
    <row r="398">
      <c r="A398" s="58"/>
    </row>
    <row r="399">
      <c r="A399" s="58"/>
    </row>
    <row r="400">
      <c r="A400" s="58"/>
    </row>
    <row r="401">
      <c r="A401" s="58"/>
    </row>
    <row r="402">
      <c r="A402" s="58"/>
    </row>
    <row r="403">
      <c r="A403" s="58"/>
    </row>
    <row r="404">
      <c r="A404" s="58"/>
    </row>
    <row r="405">
      <c r="A405" s="58"/>
    </row>
    <row r="406">
      <c r="A406" s="58"/>
    </row>
    <row r="407">
      <c r="A407" s="58"/>
    </row>
    <row r="408">
      <c r="A408" s="58"/>
    </row>
    <row r="409">
      <c r="A409" s="58"/>
    </row>
    <row r="410">
      <c r="A410" s="58"/>
    </row>
    <row r="411">
      <c r="A411" s="58"/>
    </row>
    <row r="412">
      <c r="A412" s="58"/>
    </row>
    <row r="413">
      <c r="A413" s="58"/>
    </row>
    <row r="414">
      <c r="A414" s="58"/>
    </row>
    <row r="415">
      <c r="A415" s="58"/>
    </row>
    <row r="416">
      <c r="A416" s="58"/>
    </row>
    <row r="417">
      <c r="A417" s="58"/>
    </row>
    <row r="418">
      <c r="A418" s="58"/>
    </row>
    <row r="419">
      <c r="A419" s="58"/>
    </row>
    <row r="420">
      <c r="A420" s="58"/>
    </row>
    <row r="421">
      <c r="A421" s="58"/>
    </row>
    <row r="422">
      <c r="A422" s="58"/>
    </row>
    <row r="423">
      <c r="A423" s="58"/>
    </row>
    <row r="424">
      <c r="A424" s="58"/>
    </row>
    <row r="425">
      <c r="A425" s="58"/>
    </row>
    <row r="426">
      <c r="A426" s="58"/>
    </row>
    <row r="427">
      <c r="A427" s="58"/>
    </row>
    <row r="428">
      <c r="A428" s="58"/>
    </row>
    <row r="429">
      <c r="A429" s="58"/>
    </row>
    <row r="430">
      <c r="A430" s="58"/>
    </row>
    <row r="431">
      <c r="A431" s="58"/>
    </row>
    <row r="432">
      <c r="A432" s="58"/>
    </row>
    <row r="433">
      <c r="A433" s="58"/>
    </row>
    <row r="434">
      <c r="A434" s="58"/>
    </row>
    <row r="435">
      <c r="A435" s="58"/>
    </row>
    <row r="436">
      <c r="A436" s="58"/>
    </row>
    <row r="437">
      <c r="A437" s="58"/>
    </row>
    <row r="438">
      <c r="A438" s="58"/>
    </row>
    <row r="439">
      <c r="A439" s="58"/>
    </row>
    <row r="440">
      <c r="A440" s="58"/>
    </row>
    <row r="441">
      <c r="A441" s="58"/>
    </row>
    <row r="442">
      <c r="A442" s="58"/>
    </row>
    <row r="443">
      <c r="A443" s="58"/>
    </row>
    <row r="444">
      <c r="A444" s="58"/>
    </row>
    <row r="445">
      <c r="A445" s="58"/>
    </row>
    <row r="446">
      <c r="A446" s="58"/>
    </row>
    <row r="447">
      <c r="A447" s="58"/>
    </row>
    <row r="448">
      <c r="A448" s="58"/>
    </row>
    <row r="449">
      <c r="A449" s="58"/>
    </row>
    <row r="450">
      <c r="A450" s="58"/>
    </row>
    <row r="451">
      <c r="A451" s="58"/>
    </row>
    <row r="452">
      <c r="A452" s="58"/>
    </row>
    <row r="453">
      <c r="A453" s="58"/>
    </row>
    <row r="454">
      <c r="A454" s="58"/>
    </row>
    <row r="455">
      <c r="A455" s="58"/>
    </row>
    <row r="456">
      <c r="A456" s="58"/>
    </row>
    <row r="457">
      <c r="A457" s="58"/>
    </row>
    <row r="458">
      <c r="A458" s="58"/>
    </row>
    <row r="459">
      <c r="A459" s="58"/>
    </row>
    <row r="460">
      <c r="A460" s="58"/>
    </row>
    <row r="461">
      <c r="A461" s="58"/>
    </row>
    <row r="462">
      <c r="A462" s="58"/>
    </row>
    <row r="463">
      <c r="A463" s="58"/>
    </row>
    <row r="464">
      <c r="A464" s="58"/>
    </row>
    <row r="465">
      <c r="A465" s="58"/>
    </row>
    <row r="466">
      <c r="A466" s="58"/>
    </row>
    <row r="467">
      <c r="A467" s="58"/>
    </row>
    <row r="468">
      <c r="A468" s="58"/>
    </row>
    <row r="469">
      <c r="A469" s="58"/>
    </row>
    <row r="470">
      <c r="A470" s="58"/>
    </row>
    <row r="471">
      <c r="A471" s="58"/>
    </row>
    <row r="472">
      <c r="A472" s="58"/>
    </row>
    <row r="473">
      <c r="A473" s="58"/>
    </row>
    <row r="474">
      <c r="A474" s="58"/>
    </row>
    <row r="475">
      <c r="A475" s="58"/>
    </row>
    <row r="476">
      <c r="A476" s="58"/>
    </row>
    <row r="477">
      <c r="A477" s="58"/>
    </row>
    <row r="478">
      <c r="A478" s="58"/>
    </row>
    <row r="479">
      <c r="A479" s="58"/>
    </row>
    <row r="480">
      <c r="A480" s="58"/>
    </row>
    <row r="481">
      <c r="A481" s="58"/>
    </row>
    <row r="482">
      <c r="A482" s="58"/>
    </row>
    <row r="483">
      <c r="A483" s="58"/>
    </row>
    <row r="484">
      <c r="A484" s="58"/>
    </row>
    <row r="485">
      <c r="A485" s="58"/>
    </row>
    <row r="486">
      <c r="A486" s="58"/>
    </row>
    <row r="487">
      <c r="A487" s="58"/>
    </row>
    <row r="488">
      <c r="A488" s="58"/>
    </row>
    <row r="489">
      <c r="A489" s="58"/>
    </row>
    <row r="490">
      <c r="A490" s="58"/>
    </row>
    <row r="491">
      <c r="A491" s="58"/>
    </row>
    <row r="492">
      <c r="A492" s="58"/>
    </row>
    <row r="493">
      <c r="A493" s="58"/>
    </row>
    <row r="494">
      <c r="A494" s="58"/>
    </row>
    <row r="495">
      <c r="A495" s="58"/>
    </row>
    <row r="496">
      <c r="A496" s="58"/>
    </row>
    <row r="497">
      <c r="A497" s="58"/>
    </row>
    <row r="498">
      <c r="A498" s="58"/>
    </row>
    <row r="499">
      <c r="A499" s="58"/>
    </row>
    <row r="500">
      <c r="A500" s="58"/>
    </row>
    <row r="501">
      <c r="A501" s="58"/>
    </row>
    <row r="502">
      <c r="A502" s="58"/>
    </row>
    <row r="503">
      <c r="A503" s="58"/>
    </row>
    <row r="504">
      <c r="A504" s="58"/>
    </row>
    <row r="505">
      <c r="A505" s="58"/>
    </row>
    <row r="506">
      <c r="A506" s="58"/>
    </row>
    <row r="507">
      <c r="A507" s="58"/>
    </row>
    <row r="508">
      <c r="A508" s="58"/>
    </row>
    <row r="509">
      <c r="A509" s="58"/>
    </row>
    <row r="510">
      <c r="A510" s="58"/>
    </row>
    <row r="511">
      <c r="A511" s="58"/>
    </row>
    <row r="512">
      <c r="A512" s="58"/>
    </row>
    <row r="513">
      <c r="A513" s="58"/>
    </row>
    <row r="514">
      <c r="A514" s="58"/>
    </row>
    <row r="515">
      <c r="A515" s="58"/>
    </row>
    <row r="516">
      <c r="A516" s="58"/>
    </row>
    <row r="517">
      <c r="A517" s="58"/>
    </row>
    <row r="518">
      <c r="A518" s="58"/>
    </row>
    <row r="519">
      <c r="A519" s="58"/>
    </row>
    <row r="520">
      <c r="A520" s="58"/>
    </row>
    <row r="521">
      <c r="A521" s="58"/>
    </row>
    <row r="522">
      <c r="A522" s="58"/>
    </row>
    <row r="523">
      <c r="A523" s="58"/>
    </row>
    <row r="524">
      <c r="A524" s="58"/>
    </row>
    <row r="525">
      <c r="A525" s="58"/>
    </row>
    <row r="526">
      <c r="A526" s="58"/>
    </row>
    <row r="527">
      <c r="A527" s="58"/>
    </row>
    <row r="528">
      <c r="A528" s="58"/>
    </row>
    <row r="529">
      <c r="A529" s="58"/>
    </row>
    <row r="530">
      <c r="A530" s="58"/>
    </row>
    <row r="531">
      <c r="A531" s="58"/>
    </row>
    <row r="532">
      <c r="A532" s="58"/>
    </row>
    <row r="533">
      <c r="A533" s="58"/>
    </row>
    <row r="534">
      <c r="A534" s="58"/>
    </row>
    <row r="535">
      <c r="A535" s="58"/>
    </row>
    <row r="536">
      <c r="A536" s="58"/>
    </row>
    <row r="537">
      <c r="A537" s="58"/>
    </row>
    <row r="538">
      <c r="A538" s="58"/>
    </row>
    <row r="539">
      <c r="A539" s="58"/>
    </row>
    <row r="540">
      <c r="A540" s="58"/>
    </row>
    <row r="541">
      <c r="A541" s="58"/>
    </row>
    <row r="542">
      <c r="A542" s="58"/>
    </row>
    <row r="543">
      <c r="A543" s="58"/>
    </row>
    <row r="544">
      <c r="A544" s="58"/>
    </row>
    <row r="545">
      <c r="A545" s="58"/>
    </row>
    <row r="546">
      <c r="A546" s="58"/>
    </row>
    <row r="547">
      <c r="A547" s="58"/>
    </row>
    <row r="548">
      <c r="A548" s="58"/>
    </row>
    <row r="549">
      <c r="A549" s="58"/>
    </row>
    <row r="550">
      <c r="A550" s="58"/>
    </row>
    <row r="551">
      <c r="A551" s="58"/>
    </row>
    <row r="552">
      <c r="A552" s="58"/>
    </row>
    <row r="553">
      <c r="A553" s="58"/>
    </row>
    <row r="554">
      <c r="A554" s="58"/>
    </row>
    <row r="555">
      <c r="A555" s="58"/>
    </row>
    <row r="556">
      <c r="A556" s="58"/>
    </row>
    <row r="557">
      <c r="A557" s="58"/>
    </row>
    <row r="558">
      <c r="A558" s="58"/>
    </row>
    <row r="559">
      <c r="A559" s="58"/>
    </row>
    <row r="560">
      <c r="A560" s="58"/>
    </row>
    <row r="561">
      <c r="A561" s="58"/>
    </row>
    <row r="562">
      <c r="A562" s="58"/>
    </row>
    <row r="563">
      <c r="A563" s="58"/>
    </row>
    <row r="564">
      <c r="A564" s="58"/>
    </row>
    <row r="565">
      <c r="A565" s="58"/>
    </row>
    <row r="566">
      <c r="A566" s="58"/>
    </row>
    <row r="567">
      <c r="A567" s="58"/>
    </row>
    <row r="568">
      <c r="A568" s="58"/>
    </row>
    <row r="569">
      <c r="A569" s="58"/>
    </row>
    <row r="570">
      <c r="A570" s="58"/>
    </row>
    <row r="571">
      <c r="A571" s="58"/>
    </row>
    <row r="572">
      <c r="A572" s="58"/>
    </row>
    <row r="573">
      <c r="A573" s="58"/>
    </row>
    <row r="574">
      <c r="A574" s="58"/>
    </row>
    <row r="575">
      <c r="A575" s="58"/>
    </row>
    <row r="576">
      <c r="A576" s="58"/>
    </row>
    <row r="577">
      <c r="A577" s="58"/>
    </row>
    <row r="578">
      <c r="A578" s="58"/>
    </row>
    <row r="579">
      <c r="A579" s="58"/>
    </row>
    <row r="580">
      <c r="A580" s="58"/>
    </row>
    <row r="581">
      <c r="A581" s="58"/>
    </row>
    <row r="582">
      <c r="A582" s="58"/>
    </row>
    <row r="583">
      <c r="A583" s="58"/>
    </row>
    <row r="584">
      <c r="A584" s="58"/>
    </row>
    <row r="585">
      <c r="A585" s="58"/>
    </row>
    <row r="586">
      <c r="A586" s="58"/>
    </row>
    <row r="587">
      <c r="A587" s="58"/>
    </row>
    <row r="588">
      <c r="A588" s="58"/>
    </row>
    <row r="589">
      <c r="A589" s="58"/>
    </row>
    <row r="590">
      <c r="A590" s="58"/>
    </row>
    <row r="591">
      <c r="A591" s="58"/>
    </row>
    <row r="592">
      <c r="A592" s="58"/>
    </row>
    <row r="593">
      <c r="A593" s="58"/>
    </row>
    <row r="594">
      <c r="A594" s="58"/>
    </row>
    <row r="595">
      <c r="A595" s="58"/>
    </row>
    <row r="596">
      <c r="A596" s="58"/>
    </row>
    <row r="597">
      <c r="A597" s="58"/>
    </row>
    <row r="598">
      <c r="A598" s="58"/>
    </row>
    <row r="599">
      <c r="A599" s="58"/>
    </row>
    <row r="600">
      <c r="A600" s="58"/>
    </row>
    <row r="601">
      <c r="A601" s="58"/>
    </row>
    <row r="602">
      <c r="A602" s="58"/>
    </row>
    <row r="603">
      <c r="A603" s="58"/>
    </row>
    <row r="604">
      <c r="A604" s="58"/>
    </row>
    <row r="605">
      <c r="A605" s="58"/>
    </row>
    <row r="606">
      <c r="A606" s="58"/>
    </row>
    <row r="607">
      <c r="A607" s="58"/>
    </row>
    <row r="608">
      <c r="A608" s="58"/>
    </row>
    <row r="609">
      <c r="A609" s="58"/>
    </row>
    <row r="610">
      <c r="A610" s="58"/>
    </row>
    <row r="611">
      <c r="A611" s="58"/>
    </row>
    <row r="612">
      <c r="A612" s="58"/>
    </row>
    <row r="613">
      <c r="A613" s="58"/>
    </row>
    <row r="614">
      <c r="A614" s="58"/>
    </row>
    <row r="615">
      <c r="A615" s="58"/>
    </row>
    <row r="616">
      <c r="A616" s="58"/>
    </row>
    <row r="617">
      <c r="A617" s="58"/>
    </row>
    <row r="618">
      <c r="A618" s="58"/>
    </row>
    <row r="619">
      <c r="A619" s="58"/>
    </row>
    <row r="620">
      <c r="A620" s="58"/>
    </row>
    <row r="621">
      <c r="A621" s="58"/>
    </row>
    <row r="622">
      <c r="A622" s="58"/>
    </row>
    <row r="623">
      <c r="A623" s="58"/>
    </row>
    <row r="624">
      <c r="A624" s="58"/>
    </row>
    <row r="625">
      <c r="A625" s="58"/>
    </row>
    <row r="626">
      <c r="A626" s="58"/>
    </row>
    <row r="627">
      <c r="A627" s="58"/>
    </row>
    <row r="628">
      <c r="A628" s="58"/>
    </row>
    <row r="629">
      <c r="A629" s="58"/>
    </row>
    <row r="630">
      <c r="A630" s="58"/>
    </row>
    <row r="631">
      <c r="A631" s="58"/>
    </row>
    <row r="632">
      <c r="A632" s="58"/>
    </row>
    <row r="633">
      <c r="A633" s="58"/>
    </row>
    <row r="634">
      <c r="A634" s="58"/>
    </row>
    <row r="635">
      <c r="A635" s="58"/>
    </row>
    <row r="636">
      <c r="A636" s="58"/>
    </row>
    <row r="637">
      <c r="A637" s="58"/>
    </row>
    <row r="638">
      <c r="A638" s="58"/>
    </row>
    <row r="639">
      <c r="A639" s="58"/>
    </row>
    <row r="640">
      <c r="A640" s="58"/>
    </row>
    <row r="641">
      <c r="A641" s="58"/>
    </row>
    <row r="642">
      <c r="A642" s="58"/>
    </row>
    <row r="643">
      <c r="A643" s="58"/>
    </row>
    <row r="644">
      <c r="A644" s="58"/>
    </row>
    <row r="645">
      <c r="A645" s="58"/>
    </row>
    <row r="646">
      <c r="A646" s="58"/>
    </row>
    <row r="647">
      <c r="A647" s="58"/>
    </row>
    <row r="648">
      <c r="A648" s="58"/>
    </row>
    <row r="649">
      <c r="A649" s="58"/>
    </row>
    <row r="650">
      <c r="A650" s="58"/>
    </row>
    <row r="651">
      <c r="A651" s="58"/>
    </row>
    <row r="652">
      <c r="A652" s="58"/>
    </row>
    <row r="653">
      <c r="A653" s="58"/>
    </row>
    <row r="654">
      <c r="A654" s="58"/>
    </row>
    <row r="655">
      <c r="A655" s="58"/>
    </row>
    <row r="656">
      <c r="A656" s="58"/>
    </row>
    <row r="657">
      <c r="A657" s="58"/>
    </row>
    <row r="658">
      <c r="A658" s="58"/>
    </row>
    <row r="659">
      <c r="A659" s="58"/>
    </row>
    <row r="660">
      <c r="A660" s="58"/>
    </row>
    <row r="661">
      <c r="A661" s="58"/>
    </row>
    <row r="662">
      <c r="A662" s="58"/>
    </row>
    <row r="663">
      <c r="A663" s="58"/>
    </row>
    <row r="664">
      <c r="A664" s="58"/>
    </row>
    <row r="665">
      <c r="A665" s="58"/>
    </row>
    <row r="666">
      <c r="A666" s="58"/>
    </row>
    <row r="667">
      <c r="A667" s="58"/>
    </row>
    <row r="668">
      <c r="A668" s="58"/>
    </row>
    <row r="669">
      <c r="A669" s="58"/>
    </row>
    <row r="670">
      <c r="A670" s="58"/>
    </row>
    <row r="671">
      <c r="A671" s="58"/>
    </row>
    <row r="672">
      <c r="A672" s="58"/>
    </row>
    <row r="673">
      <c r="A673" s="58"/>
    </row>
    <row r="674">
      <c r="A674" s="58"/>
    </row>
    <row r="675">
      <c r="A675" s="58"/>
    </row>
    <row r="676">
      <c r="A676" s="58"/>
    </row>
    <row r="677">
      <c r="A677" s="58"/>
    </row>
    <row r="678">
      <c r="A678" s="58"/>
    </row>
    <row r="679">
      <c r="A679" s="58"/>
    </row>
    <row r="680">
      <c r="A680" s="58"/>
    </row>
    <row r="681">
      <c r="A681" s="58"/>
    </row>
    <row r="682">
      <c r="A682" s="58"/>
    </row>
    <row r="683">
      <c r="A683" s="58"/>
    </row>
    <row r="684">
      <c r="A684" s="58"/>
    </row>
    <row r="685">
      <c r="A685" s="58"/>
    </row>
    <row r="686">
      <c r="A686" s="58"/>
    </row>
    <row r="687">
      <c r="A687" s="58"/>
    </row>
    <row r="688">
      <c r="A688" s="58"/>
    </row>
    <row r="689">
      <c r="A689" s="58"/>
    </row>
    <row r="690">
      <c r="A690" s="58"/>
    </row>
    <row r="691">
      <c r="A691" s="58"/>
    </row>
    <row r="692">
      <c r="A692" s="58"/>
    </row>
    <row r="693">
      <c r="A693" s="58"/>
    </row>
    <row r="694">
      <c r="A694" s="58"/>
    </row>
    <row r="695">
      <c r="A695" s="58"/>
    </row>
    <row r="696">
      <c r="A696" s="58"/>
    </row>
    <row r="697">
      <c r="A697" s="58"/>
    </row>
    <row r="698">
      <c r="A698" s="58"/>
    </row>
    <row r="699">
      <c r="A699" s="58"/>
    </row>
    <row r="700">
      <c r="A700" s="58"/>
    </row>
    <row r="701">
      <c r="A701" s="58"/>
    </row>
    <row r="702">
      <c r="A702" s="58"/>
    </row>
    <row r="703">
      <c r="A703" s="58"/>
    </row>
    <row r="704">
      <c r="A704" s="58"/>
    </row>
    <row r="705">
      <c r="A705" s="58"/>
    </row>
    <row r="706">
      <c r="A706" s="58"/>
    </row>
    <row r="707">
      <c r="A707" s="58"/>
    </row>
    <row r="708">
      <c r="A708" s="58"/>
    </row>
    <row r="709">
      <c r="A709" s="58"/>
    </row>
    <row r="710">
      <c r="A710" s="58"/>
    </row>
    <row r="711">
      <c r="A711" s="58"/>
    </row>
    <row r="712">
      <c r="A712" s="58"/>
    </row>
    <row r="713">
      <c r="A713" s="58"/>
    </row>
    <row r="714">
      <c r="A714" s="58"/>
    </row>
    <row r="715">
      <c r="A715" s="58"/>
    </row>
    <row r="716">
      <c r="A716" s="58"/>
    </row>
    <row r="717">
      <c r="A717" s="58"/>
    </row>
    <row r="718">
      <c r="A718" s="58"/>
    </row>
    <row r="719">
      <c r="A719" s="58"/>
    </row>
    <row r="720">
      <c r="A720" s="58"/>
    </row>
    <row r="721">
      <c r="A721" s="58"/>
    </row>
    <row r="722">
      <c r="A722" s="58"/>
    </row>
    <row r="723">
      <c r="A723" s="58"/>
    </row>
    <row r="724">
      <c r="A724" s="58"/>
    </row>
    <row r="725">
      <c r="A725" s="58"/>
    </row>
    <row r="726">
      <c r="A726" s="58"/>
    </row>
    <row r="727">
      <c r="A727" s="58"/>
    </row>
    <row r="728">
      <c r="A728" s="58"/>
    </row>
    <row r="729">
      <c r="A729" s="58"/>
    </row>
    <row r="730">
      <c r="A730" s="58"/>
    </row>
    <row r="731">
      <c r="A731" s="58"/>
    </row>
    <row r="732">
      <c r="A732" s="58"/>
    </row>
    <row r="733">
      <c r="A733" s="58"/>
    </row>
    <row r="734">
      <c r="A734" s="58"/>
    </row>
    <row r="735">
      <c r="A735" s="58"/>
    </row>
    <row r="736">
      <c r="A736" s="58"/>
    </row>
    <row r="737">
      <c r="A737" s="58"/>
    </row>
    <row r="738">
      <c r="A738" s="58"/>
    </row>
    <row r="739">
      <c r="A739" s="58"/>
    </row>
    <row r="740">
      <c r="A740" s="58"/>
    </row>
    <row r="741">
      <c r="A741" s="58"/>
    </row>
    <row r="742">
      <c r="A742" s="58"/>
    </row>
    <row r="743">
      <c r="A743" s="58"/>
    </row>
    <row r="744">
      <c r="A744" s="58"/>
    </row>
    <row r="745">
      <c r="A745" s="58"/>
    </row>
    <row r="746">
      <c r="A746" s="58"/>
    </row>
    <row r="747">
      <c r="A747" s="58"/>
    </row>
    <row r="748">
      <c r="A748" s="58"/>
    </row>
    <row r="749">
      <c r="A749" s="58"/>
    </row>
    <row r="750">
      <c r="A750" s="58"/>
    </row>
    <row r="751">
      <c r="A751" s="58"/>
    </row>
    <row r="752">
      <c r="A752" s="58"/>
    </row>
    <row r="753">
      <c r="A753" s="58"/>
    </row>
    <row r="754">
      <c r="A754" s="58"/>
    </row>
    <row r="755">
      <c r="A755" s="58"/>
    </row>
    <row r="756">
      <c r="A756" s="58"/>
    </row>
    <row r="757">
      <c r="A757" s="58"/>
    </row>
    <row r="758">
      <c r="A758" s="58"/>
    </row>
    <row r="759">
      <c r="A759" s="58"/>
    </row>
    <row r="760">
      <c r="A760" s="58"/>
    </row>
    <row r="761">
      <c r="A761" s="58"/>
    </row>
    <row r="762">
      <c r="A762" s="58"/>
    </row>
    <row r="763">
      <c r="A763" s="58"/>
    </row>
    <row r="764">
      <c r="A764" s="58"/>
    </row>
    <row r="765">
      <c r="A765" s="58"/>
    </row>
    <row r="766">
      <c r="A766" s="58"/>
    </row>
    <row r="767">
      <c r="A767" s="58"/>
    </row>
    <row r="768">
      <c r="A768" s="58"/>
    </row>
    <row r="769">
      <c r="A769" s="58"/>
    </row>
    <row r="770">
      <c r="A770" s="58"/>
    </row>
    <row r="771">
      <c r="A771" s="58"/>
    </row>
    <row r="772">
      <c r="A772" s="58"/>
    </row>
    <row r="773">
      <c r="A773" s="58"/>
    </row>
    <row r="774">
      <c r="A774" s="58"/>
    </row>
    <row r="775">
      <c r="A775" s="58"/>
    </row>
    <row r="776">
      <c r="A776" s="58"/>
    </row>
    <row r="777">
      <c r="A777" s="58"/>
    </row>
    <row r="778">
      <c r="A778" s="58"/>
    </row>
    <row r="779">
      <c r="A779" s="58"/>
    </row>
    <row r="780">
      <c r="A780" s="58"/>
    </row>
    <row r="781">
      <c r="A781" s="58"/>
    </row>
    <row r="782">
      <c r="A782" s="58"/>
    </row>
    <row r="783">
      <c r="A783" s="58"/>
    </row>
    <row r="784">
      <c r="A784" s="58"/>
    </row>
    <row r="785">
      <c r="A785" s="58"/>
    </row>
    <row r="786">
      <c r="A786" s="58"/>
    </row>
    <row r="787">
      <c r="A787" s="58"/>
    </row>
    <row r="788">
      <c r="A788" s="58"/>
    </row>
    <row r="789">
      <c r="A789" s="58"/>
    </row>
    <row r="790">
      <c r="A790" s="58"/>
    </row>
    <row r="791">
      <c r="A791" s="58"/>
    </row>
    <row r="792">
      <c r="A792" s="58"/>
    </row>
    <row r="793">
      <c r="A793" s="58"/>
    </row>
    <row r="794">
      <c r="A794" s="58"/>
    </row>
    <row r="795">
      <c r="A795" s="58"/>
    </row>
    <row r="796">
      <c r="A796" s="58"/>
    </row>
    <row r="797">
      <c r="A797" s="58"/>
    </row>
    <row r="798">
      <c r="A798" s="58"/>
    </row>
    <row r="799">
      <c r="A799" s="58"/>
    </row>
    <row r="800">
      <c r="A800" s="58"/>
    </row>
    <row r="801">
      <c r="A801" s="58"/>
    </row>
    <row r="802">
      <c r="A802" s="58"/>
    </row>
    <row r="803">
      <c r="A803" s="58"/>
    </row>
    <row r="804">
      <c r="A804" s="58"/>
    </row>
    <row r="805">
      <c r="A805" s="58"/>
    </row>
    <row r="806">
      <c r="A806" s="58"/>
    </row>
    <row r="807">
      <c r="A807" s="58"/>
    </row>
    <row r="808">
      <c r="A808" s="58"/>
    </row>
    <row r="809">
      <c r="A809" s="58"/>
    </row>
    <row r="810">
      <c r="A810" s="58"/>
    </row>
    <row r="811">
      <c r="A811" s="58"/>
    </row>
    <row r="812">
      <c r="A812" s="58"/>
    </row>
    <row r="813">
      <c r="A813" s="58"/>
    </row>
    <row r="814">
      <c r="A814" s="58"/>
    </row>
    <row r="815">
      <c r="A815" s="58"/>
    </row>
    <row r="816">
      <c r="A816" s="58"/>
    </row>
    <row r="817">
      <c r="A817" s="58"/>
    </row>
    <row r="818">
      <c r="A818" s="58"/>
    </row>
    <row r="819">
      <c r="A819" s="58"/>
    </row>
    <row r="820">
      <c r="A820" s="58"/>
    </row>
    <row r="821">
      <c r="A821" s="58"/>
    </row>
    <row r="822">
      <c r="A822" s="58"/>
    </row>
    <row r="823">
      <c r="A823" s="58"/>
    </row>
    <row r="824">
      <c r="A824" s="58"/>
    </row>
    <row r="825">
      <c r="A825" s="58"/>
    </row>
    <row r="826">
      <c r="A826" s="58"/>
    </row>
    <row r="827">
      <c r="A827" s="58"/>
    </row>
    <row r="828">
      <c r="A828" s="58"/>
    </row>
    <row r="829">
      <c r="A829" s="58"/>
    </row>
    <row r="830">
      <c r="A830" s="58"/>
    </row>
    <row r="831">
      <c r="A831" s="58"/>
    </row>
    <row r="832">
      <c r="A832" s="58"/>
    </row>
    <row r="833">
      <c r="A833" s="58"/>
    </row>
    <row r="834">
      <c r="A834" s="58"/>
    </row>
    <row r="835">
      <c r="A835" s="58"/>
    </row>
    <row r="836">
      <c r="A836" s="58"/>
    </row>
    <row r="837">
      <c r="A837" s="58"/>
    </row>
    <row r="838">
      <c r="A838" s="58"/>
    </row>
    <row r="839">
      <c r="A839" s="58"/>
    </row>
    <row r="840">
      <c r="A840" s="58"/>
    </row>
    <row r="841">
      <c r="A841" s="58"/>
    </row>
    <row r="842">
      <c r="A842" s="58"/>
    </row>
    <row r="843">
      <c r="A843" s="58"/>
    </row>
    <row r="844">
      <c r="A844" s="58"/>
    </row>
    <row r="845">
      <c r="A845" s="58"/>
    </row>
    <row r="846">
      <c r="A846" s="58"/>
    </row>
    <row r="847">
      <c r="A847" s="58"/>
    </row>
    <row r="848">
      <c r="A848" s="58"/>
    </row>
    <row r="849">
      <c r="A849" s="58"/>
    </row>
    <row r="850">
      <c r="A850" s="58"/>
    </row>
    <row r="851">
      <c r="A851" s="58"/>
    </row>
    <row r="852">
      <c r="A852" s="58"/>
    </row>
    <row r="853">
      <c r="A853" s="58"/>
    </row>
    <row r="854">
      <c r="A854" s="58"/>
    </row>
    <row r="855">
      <c r="A855" s="58"/>
    </row>
    <row r="856">
      <c r="A856" s="58"/>
    </row>
    <row r="857">
      <c r="A857" s="58"/>
    </row>
    <row r="858">
      <c r="A858" s="58"/>
    </row>
    <row r="859">
      <c r="A859" s="58"/>
    </row>
    <row r="860">
      <c r="A860" s="58"/>
    </row>
    <row r="861">
      <c r="A861" s="58"/>
    </row>
    <row r="862">
      <c r="A862" s="58"/>
    </row>
    <row r="863">
      <c r="A863" s="58"/>
    </row>
    <row r="864">
      <c r="A864" s="58"/>
    </row>
    <row r="865">
      <c r="A865" s="58"/>
    </row>
    <row r="866">
      <c r="A866" s="58"/>
    </row>
    <row r="867">
      <c r="A867" s="58"/>
    </row>
    <row r="868">
      <c r="A868" s="58"/>
    </row>
    <row r="869">
      <c r="A869" s="58"/>
    </row>
    <row r="870">
      <c r="A870" s="58"/>
    </row>
    <row r="871">
      <c r="A871" s="58"/>
    </row>
    <row r="872">
      <c r="A872" s="58"/>
    </row>
    <row r="873">
      <c r="A873" s="58"/>
    </row>
    <row r="874">
      <c r="A874" s="58"/>
    </row>
    <row r="875">
      <c r="A875" s="58"/>
    </row>
    <row r="876">
      <c r="A876" s="58"/>
    </row>
    <row r="877">
      <c r="A877" s="58"/>
    </row>
    <row r="878">
      <c r="A878" s="58"/>
    </row>
    <row r="879">
      <c r="A879" s="58"/>
    </row>
    <row r="880">
      <c r="A880" s="58"/>
    </row>
    <row r="881">
      <c r="A881" s="58"/>
    </row>
    <row r="882">
      <c r="A882" s="58"/>
    </row>
    <row r="883">
      <c r="A883" s="58"/>
    </row>
    <row r="884">
      <c r="A884" s="58"/>
    </row>
    <row r="885">
      <c r="A885" s="58"/>
    </row>
    <row r="886">
      <c r="A886" s="58"/>
    </row>
    <row r="887">
      <c r="A887" s="58"/>
    </row>
    <row r="888">
      <c r="A888" s="58"/>
    </row>
    <row r="889">
      <c r="A889" s="58"/>
    </row>
    <row r="890">
      <c r="A890" s="58"/>
    </row>
    <row r="891">
      <c r="A891" s="58"/>
    </row>
    <row r="892">
      <c r="A892" s="58"/>
    </row>
    <row r="893">
      <c r="A893" s="58"/>
    </row>
    <row r="894">
      <c r="A894" s="58"/>
    </row>
    <row r="895">
      <c r="A895" s="58"/>
    </row>
    <row r="896">
      <c r="A896" s="58"/>
    </row>
    <row r="897">
      <c r="A897" s="58"/>
    </row>
    <row r="898">
      <c r="A898" s="58"/>
    </row>
    <row r="899">
      <c r="A899" s="58"/>
    </row>
    <row r="900">
      <c r="A900" s="58"/>
    </row>
    <row r="901">
      <c r="A901" s="58"/>
    </row>
    <row r="902">
      <c r="A902" s="58"/>
    </row>
    <row r="903">
      <c r="A903" s="58"/>
    </row>
    <row r="904">
      <c r="A904" s="58"/>
    </row>
    <row r="905">
      <c r="A905" s="58"/>
    </row>
    <row r="906">
      <c r="A906" s="58"/>
    </row>
    <row r="907">
      <c r="A907" s="58"/>
    </row>
    <row r="908">
      <c r="A908" s="58"/>
    </row>
    <row r="909">
      <c r="A909" s="58"/>
    </row>
    <row r="910">
      <c r="A910" s="58"/>
    </row>
    <row r="911">
      <c r="A911" s="58"/>
    </row>
    <row r="912">
      <c r="A912" s="58"/>
    </row>
    <row r="913">
      <c r="A913" s="58"/>
    </row>
    <row r="914">
      <c r="A914" s="58"/>
    </row>
    <row r="915">
      <c r="A915" s="58"/>
    </row>
    <row r="916">
      <c r="A916" s="58"/>
    </row>
    <row r="917">
      <c r="A917" s="58"/>
    </row>
    <row r="918">
      <c r="A918" s="58"/>
    </row>
    <row r="919">
      <c r="A919" s="58"/>
    </row>
    <row r="920">
      <c r="A920" s="58"/>
    </row>
    <row r="921">
      <c r="A921" s="58"/>
    </row>
    <row r="922">
      <c r="A922" s="58"/>
    </row>
    <row r="923">
      <c r="A923" s="58"/>
    </row>
    <row r="924">
      <c r="A924" s="58"/>
    </row>
    <row r="925">
      <c r="A925" s="58"/>
    </row>
    <row r="926">
      <c r="A926" s="58"/>
    </row>
    <row r="927">
      <c r="A927" s="58"/>
    </row>
    <row r="928">
      <c r="A928" s="58"/>
    </row>
    <row r="929">
      <c r="A929" s="58"/>
    </row>
    <row r="930">
      <c r="A930" s="58"/>
    </row>
    <row r="931">
      <c r="A931" s="58"/>
    </row>
    <row r="932">
      <c r="A932" s="58"/>
    </row>
    <row r="933">
      <c r="A933" s="58"/>
    </row>
    <row r="934">
      <c r="A934" s="58"/>
    </row>
    <row r="935">
      <c r="A935" s="58"/>
    </row>
    <row r="936">
      <c r="A936" s="58"/>
    </row>
    <row r="937">
      <c r="A937" s="58"/>
    </row>
    <row r="938">
      <c r="A938" s="58"/>
    </row>
    <row r="939">
      <c r="A939" s="58"/>
    </row>
    <row r="940">
      <c r="A940" s="58"/>
    </row>
    <row r="941">
      <c r="A941" s="58"/>
    </row>
    <row r="942">
      <c r="A942" s="58"/>
    </row>
    <row r="943">
      <c r="A943" s="58"/>
    </row>
    <row r="944">
      <c r="A944" s="58"/>
    </row>
    <row r="945">
      <c r="A945" s="58"/>
    </row>
    <row r="946">
      <c r="A946" s="58"/>
    </row>
    <row r="947">
      <c r="A947" s="58"/>
    </row>
    <row r="948">
      <c r="A948" s="58"/>
    </row>
    <row r="949">
      <c r="A949" s="58"/>
    </row>
    <row r="950">
      <c r="A950" s="58"/>
    </row>
    <row r="951">
      <c r="A951" s="58"/>
    </row>
    <row r="952">
      <c r="A952" s="58"/>
    </row>
    <row r="953">
      <c r="A953" s="58"/>
    </row>
    <row r="954">
      <c r="A954" s="58"/>
    </row>
    <row r="955">
      <c r="A955" s="58"/>
    </row>
    <row r="956">
      <c r="A956" s="58"/>
    </row>
    <row r="957">
      <c r="A957" s="58"/>
    </row>
    <row r="958">
      <c r="A958" s="58"/>
    </row>
    <row r="959">
      <c r="A959" s="58"/>
    </row>
    <row r="960">
      <c r="A960" s="58"/>
    </row>
    <row r="961">
      <c r="A961" s="58"/>
    </row>
    <row r="962">
      <c r="A962" s="58"/>
    </row>
    <row r="963">
      <c r="A963" s="58"/>
    </row>
    <row r="964">
      <c r="A964" s="58"/>
    </row>
    <row r="965">
      <c r="A965" s="58"/>
    </row>
    <row r="966">
      <c r="A966" s="58"/>
    </row>
    <row r="967">
      <c r="A967" s="58"/>
    </row>
    <row r="968">
      <c r="A968" s="58"/>
    </row>
    <row r="969">
      <c r="A969" s="58"/>
    </row>
    <row r="970">
      <c r="A970" s="58"/>
    </row>
    <row r="971">
      <c r="A971" s="58"/>
    </row>
    <row r="972">
      <c r="A972" s="58"/>
    </row>
    <row r="973">
      <c r="A973" s="58"/>
    </row>
    <row r="974">
      <c r="A974" s="58"/>
    </row>
    <row r="975">
      <c r="A975" s="58"/>
    </row>
    <row r="976">
      <c r="A976" s="58"/>
    </row>
    <row r="977">
      <c r="A977" s="58"/>
    </row>
    <row r="978">
      <c r="A978" s="58"/>
    </row>
    <row r="979">
      <c r="A979" s="58"/>
    </row>
    <row r="980">
      <c r="A980" s="58"/>
    </row>
    <row r="981">
      <c r="A981" s="58"/>
    </row>
    <row r="982">
      <c r="A982" s="58"/>
    </row>
    <row r="983">
      <c r="A983" s="58"/>
    </row>
    <row r="984">
      <c r="A984" s="58"/>
    </row>
    <row r="985">
      <c r="A985" s="58"/>
    </row>
    <row r="986">
      <c r="A986" s="58"/>
    </row>
    <row r="987">
      <c r="A987" s="58"/>
    </row>
    <row r="988">
      <c r="A988" s="58"/>
    </row>
    <row r="989">
      <c r="A989" s="58"/>
    </row>
    <row r="990">
      <c r="A990" s="58"/>
    </row>
    <row r="991">
      <c r="A991" s="58"/>
    </row>
    <row r="992">
      <c r="A992" s="58"/>
    </row>
    <row r="993">
      <c r="A993" s="58"/>
    </row>
    <row r="994">
      <c r="A994" s="58"/>
    </row>
    <row r="995">
      <c r="A995" s="58"/>
    </row>
    <row r="996">
      <c r="A996" s="58"/>
    </row>
    <row r="997">
      <c r="A997" s="58"/>
    </row>
    <row r="998">
      <c r="A998" s="58"/>
    </row>
  </sheetData>
  <mergeCells count="12">
    <mergeCell ref="K12:M12"/>
    <mergeCell ref="I13:K13"/>
    <mergeCell ref="H14:I14"/>
    <mergeCell ref="N17:O17"/>
    <mergeCell ref="M20:T20"/>
    <mergeCell ref="F1:G1"/>
    <mergeCell ref="F3:G3"/>
    <mergeCell ref="G4:H4"/>
    <mergeCell ref="G5:H5"/>
    <mergeCell ref="G6:H6"/>
    <mergeCell ref="G7:I7"/>
    <mergeCell ref="F10:H10"/>
  </mergeCells>
  <drawing r:id="rId1"/>
</worksheet>
</file>