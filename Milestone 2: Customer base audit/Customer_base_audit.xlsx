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ile analysis" sheetId="1" r:id="rId5"/>
    <sheet state="visible" name="Cohort analysis" sheetId="2" r:id="rId6"/>
    <sheet state="visible" name="3 cohort analysis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<sst xmlns="http://schemas.openxmlformats.org/spreadsheetml/2006/main" count="141" uniqueCount="43">
  <si>
    <t>Decile</t>
  </si>
  <si>
    <t># Customers</t>
  </si>
  <si>
    <t>Total Transactions</t>
  </si>
  <si>
    <t>Revenue</t>
  </si>
  <si>
    <t>Profit</t>
  </si>
  <si>
    <t>Average revenue per customer</t>
  </si>
  <si>
    <t>Average profit per customer</t>
  </si>
  <si>
    <t>AOF AVerage order frequency</t>
  </si>
  <si>
    <t>Order Value =Revenue/Transactions</t>
  </si>
  <si>
    <t>Average Margin =Profit/Revenue</t>
  </si>
  <si>
    <t>TOTAL</t>
  </si>
  <si>
    <t>SUM of Profit</t>
  </si>
  <si>
    <t>SUM of Revenue</t>
  </si>
  <si>
    <t>Grand Total</t>
  </si>
  <si>
    <t>%cumulative</t>
  </si>
  <si>
    <t>Quarter</t>
  </si>
  <si>
    <t xml:space="preserve">%active 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</si>
  <si>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</si>
  <si>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</si>
  <si>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</si>
  <si>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</si>
  <si>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</si>
  <si>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</si>
  <si>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</si>
  <si>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</si>
  <si>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</si>
  <si>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</si>
  <si>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</si>
  <si>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</si>
  <si>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</si>
  <si>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</si>
  <si>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</si>
  <si>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</si>
  <si>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Q3 2021</t>
  </si>
  <si>
    <t>Q4 2021</t>
  </si>
  <si>
    <t>% active</t>
  </si>
  <si>
    <t>Avg spend/active customer</t>
  </si>
  <si>
    <t>AOF</t>
  </si>
  <si>
    <t>AOV</t>
  </si>
  <si>
    <t>Q4 2022</t>
  </si>
  <si>
    <t>%active</t>
  </si>
  <si>
    <t>avg spend/active customer</t>
  </si>
  <si>
    <t>quarter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</si>
</sst>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[$$-409]#,##0"/>
  </numFmts>
  <fonts count="5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color theme="1"/>
      <name val="Arial"/>
      <scheme val="minor"/>
    </font>
    <font>
      <b/>
      <sz val="11.0"/>
      <color rgb="FFC0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999999"/>
        <bgColor rgb="FF999999"/>
      </patternFill>
    </fill>
    <fill>
      <patternFill patternType="solid">
        <fgColor rgb="FF4A86E8"/>
        <bgColor rgb="FF4A86E8"/>
      </patternFill>
    </fill>
    <fill>
      <patternFill patternType="solid">
        <fgColor rgb="FFF3F3F3"/>
        <bgColor rgb="FFF3F3F3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11">
    <border/>
    <border>
      <left/>
      <right/>
      <top/>
      <bottom/>
    </border>
    <border>
      <left/>
      <right/>
      <top style="thin">
        <color rgb="FF000000"/>
      </top>
      <bottom/>
    </border>
    <border>
      <left/>
      <right/>
      <top/>
    </border>
    <border>
      <left/>
      <right/>
      <top/>
      <bottom style="double">
        <color rgb="FF000000"/>
      </bottom>
    </border>
    <border>
      <bottom style="thin">
        <color rgb="FF000000"/>
      </bottom>
    </border>
    <border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shrinkToFit="0" vertical="bottom" wrapText="1"/>
    </xf>
    <xf borderId="0" fillId="2" fontId="1" numFmtId="10" xfId="0" applyAlignment="1" applyFont="1" applyNumberFormat="1">
      <alignment horizontal="right" shrinkToFit="0" vertical="bottom" wrapText="1"/>
    </xf>
    <xf borderId="0" fillId="3" fontId="2" numFmtId="0" xfId="0" applyAlignment="1" applyFill="1" applyFont="1">
      <alignment shrinkToFit="0" vertical="bottom" wrapText="1"/>
    </xf>
    <xf borderId="1" fillId="2" fontId="1" numFmtId="0" xfId="0" applyAlignment="1" applyBorder="1" applyFont="1">
      <alignment horizontal="right" vertical="bottom"/>
    </xf>
    <xf borderId="1" fillId="2" fontId="1" numFmtId="3" xfId="0" applyAlignment="1" applyBorder="1" applyFont="1" applyNumberFormat="1">
      <alignment horizontal="right" vertical="bottom"/>
    </xf>
    <xf borderId="0" fillId="0" fontId="2" numFmtId="9" xfId="0" applyAlignment="1" applyFont="1" applyNumberFormat="1">
      <alignment horizontal="right" vertical="bottom"/>
    </xf>
    <xf borderId="0" fillId="3" fontId="2" numFmtId="4" xfId="0" applyAlignment="1" applyFont="1" applyNumberFormat="1">
      <alignment horizontal="right" vertical="bottom"/>
    </xf>
    <xf borderId="0" fillId="3" fontId="2" numFmtId="164" xfId="0" applyAlignment="1" applyFont="1" applyNumberFormat="1">
      <alignment horizontal="right" vertical="bottom"/>
    </xf>
    <xf borderId="0" fillId="3" fontId="2" numFmtId="165" xfId="0" applyAlignment="1" applyFont="1" applyNumberFormat="1">
      <alignment horizontal="right" vertical="bottom"/>
    </xf>
    <xf borderId="0" fillId="3" fontId="2" numFmtId="9" xfId="0" applyAlignment="1" applyFont="1" applyNumberFormat="1">
      <alignment horizontal="right" vertical="bottom"/>
    </xf>
    <xf borderId="2" fillId="2" fontId="1" numFmtId="0" xfId="0" applyAlignment="1" applyBorder="1" applyFont="1">
      <alignment horizontal="right" vertical="bottom"/>
    </xf>
    <xf borderId="2" fillId="2" fontId="1" numFmtId="3" xfId="0" applyAlignment="1" applyBorder="1" applyFont="1" applyNumberFormat="1">
      <alignment horizontal="right" vertical="bottom"/>
    </xf>
    <xf borderId="0" fillId="4" fontId="2" numFmtId="4" xfId="0" applyAlignment="1" applyFill="1" applyFont="1" applyNumberFormat="1">
      <alignment horizontal="right" vertical="bottom"/>
    </xf>
    <xf borderId="0" fillId="4" fontId="2" numFmtId="164" xfId="0" applyAlignment="1" applyFont="1" applyNumberFormat="1">
      <alignment horizontal="right" vertical="bottom"/>
    </xf>
    <xf borderId="0" fillId="4" fontId="2" numFmtId="165" xfId="0" applyAlignment="1" applyFont="1" applyNumberFormat="1">
      <alignment horizontal="right" vertical="bottom"/>
    </xf>
    <xf borderId="0" fillId="4" fontId="2" numFmtId="9" xfId="0" applyAlignment="1" applyFont="1" applyNumberFormat="1">
      <alignment horizontal="right" vertical="bottom"/>
    </xf>
    <xf borderId="0" fillId="5" fontId="2" numFmtId="4" xfId="0" applyAlignment="1" applyFill="1" applyFont="1" applyNumberFormat="1">
      <alignment horizontal="right" vertical="bottom"/>
    </xf>
    <xf borderId="0" fillId="5" fontId="2" numFmtId="164" xfId="0" applyAlignment="1" applyFont="1" applyNumberFormat="1">
      <alignment horizontal="right" vertical="bottom"/>
    </xf>
    <xf borderId="0" fillId="5" fontId="2" numFmtId="165" xfId="0" applyAlignment="1" applyFont="1" applyNumberFormat="1">
      <alignment horizontal="right" vertical="bottom"/>
    </xf>
    <xf borderId="0" fillId="5" fontId="2" numFmtId="9" xfId="0" applyAlignment="1" applyFont="1" applyNumberFormat="1">
      <alignment horizontal="right" vertical="bottom"/>
    </xf>
    <xf borderId="3" fillId="6" fontId="1" numFmtId="0" xfId="0" applyAlignment="1" applyBorder="1" applyFill="1" applyFont="1">
      <alignment vertical="bottom"/>
    </xf>
    <xf borderId="3" fillId="6" fontId="1" numFmtId="3" xfId="0" applyAlignment="1" applyBorder="1" applyFont="1" applyNumberFormat="1">
      <alignment horizontal="right" vertical="bottom"/>
    </xf>
    <xf borderId="0" fillId="0" fontId="2" numFmtId="10" xfId="0" applyAlignment="1" applyFont="1" applyNumberFormat="1">
      <alignment horizontal="right" vertical="bottom"/>
    </xf>
    <xf borderId="0" fillId="0" fontId="3" numFmtId="0" xfId="0" applyFont="1"/>
    <xf borderId="0" fillId="0" fontId="3" numFmtId="3" xfId="0" applyFont="1" applyNumberFormat="1"/>
    <xf borderId="0" fillId="0" fontId="3" numFmtId="10" xfId="0" applyFont="1" applyNumberFormat="1"/>
    <xf borderId="0" fillId="0" fontId="3" numFmtId="4" xfId="0" applyFont="1" applyNumberFormat="1"/>
    <xf borderId="0" fillId="7" fontId="3" numFmtId="0" xfId="0" applyAlignment="1" applyFill="1" applyFont="1">
      <alignment readingOrder="0"/>
    </xf>
    <xf borderId="1" fillId="2" fontId="1" numFmtId="0" xfId="0" applyAlignment="1" applyBorder="1" applyFont="1">
      <alignment horizontal="right" shrinkToFit="0" vertical="bottom" wrapText="1"/>
    </xf>
    <xf borderId="0" fillId="0" fontId="1" numFmtId="0" xfId="0" applyAlignment="1" applyFont="1">
      <alignment shrinkToFit="0" vertical="bottom" wrapText="1"/>
    </xf>
    <xf borderId="4" fillId="2" fontId="1" numFmtId="0" xfId="0" applyAlignment="1" applyBorder="1" applyFont="1">
      <alignment horizontal="right" vertical="bottom"/>
    </xf>
    <xf borderId="4" fillId="2" fontId="1" numFmtId="3" xfId="0" applyAlignment="1" applyBorder="1" applyFont="1" applyNumberFormat="1">
      <alignment horizontal="right" vertical="bottom"/>
    </xf>
    <xf borderId="0" fillId="0" fontId="4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4" xfId="0" applyAlignment="1" applyFont="1" applyNumberFormat="1">
      <alignment vertical="bottom"/>
    </xf>
    <xf borderId="1" fillId="2" fontId="1" numFmtId="4" xfId="0" applyAlignment="1" applyBorder="1" applyFont="1" applyNumberFormat="1">
      <alignment horizontal="right" shrinkToFit="0" vertical="bottom" wrapText="1"/>
    </xf>
    <xf borderId="5" fillId="8" fontId="2" numFmtId="0" xfId="0" applyAlignment="1" applyBorder="1" applyFill="1" applyFont="1">
      <alignment horizontal="right" vertical="bottom"/>
    </xf>
    <xf borderId="1" fillId="2" fontId="1" numFmtId="4" xfId="0" applyAlignment="1" applyBorder="1" applyFont="1" applyNumberFormat="1">
      <alignment horizontal="right" vertical="bottom"/>
    </xf>
    <xf borderId="0" fillId="8" fontId="2" numFmtId="9" xfId="0" applyAlignment="1" applyFont="1" applyNumberFormat="1">
      <alignment horizontal="right" vertical="bottom"/>
    </xf>
    <xf borderId="0" fillId="8" fontId="2" numFmtId="1" xfId="0" applyAlignment="1" applyFont="1" applyNumberFormat="1">
      <alignment horizontal="right" vertical="bottom"/>
    </xf>
    <xf borderId="0" fillId="8" fontId="2" numFmtId="164" xfId="0" applyAlignment="1" applyFont="1" applyNumberFormat="1">
      <alignment horizontal="right" vertical="bottom"/>
    </xf>
    <xf borderId="1" fillId="2" fontId="2" numFmtId="0" xfId="0" applyAlignment="1" applyBorder="1" applyFont="1">
      <alignment vertical="bottom"/>
    </xf>
    <xf borderId="1" fillId="2" fontId="2" numFmtId="3" xfId="0" applyAlignment="1" applyBorder="1" applyFont="1" applyNumberFormat="1">
      <alignment vertical="bottom"/>
    </xf>
    <xf borderId="0" fillId="8" fontId="2" numFmtId="10" xfId="0" applyAlignment="1" applyFont="1" applyNumberFormat="1">
      <alignment vertical="bottom"/>
    </xf>
    <xf borderId="0" fillId="8" fontId="2" numFmtId="1" xfId="0" applyAlignment="1" applyFont="1" applyNumberFormat="1">
      <alignment vertical="bottom"/>
    </xf>
    <xf borderId="0" fillId="8" fontId="2" numFmtId="164" xfId="0" applyAlignment="1" applyFont="1" applyNumberFormat="1">
      <alignment vertical="bottom"/>
    </xf>
    <xf borderId="4" fillId="2" fontId="1" numFmtId="4" xfId="0" applyAlignment="1" applyBorder="1" applyFont="1" applyNumberFormat="1">
      <alignment horizontal="right" vertical="bottom"/>
    </xf>
    <xf borderId="6" fillId="8" fontId="2" numFmtId="9" xfId="0" applyAlignment="1" applyBorder="1" applyFont="1" applyNumberFormat="1">
      <alignment horizontal="right" vertical="bottom"/>
    </xf>
    <xf borderId="6" fillId="8" fontId="2" numFmtId="1" xfId="0" applyAlignment="1" applyBorder="1" applyFont="1" applyNumberFormat="1">
      <alignment horizontal="right" vertical="bottom"/>
    </xf>
    <xf borderId="6" fillId="8" fontId="2" numFmtId="164" xfId="0" applyAlignment="1" applyBorder="1" applyFont="1" applyNumberFormat="1">
      <alignment horizontal="right" vertical="bottom"/>
    </xf>
    <xf borderId="0" fillId="9" fontId="3" numFmtId="0" xfId="0" applyAlignment="1" applyFill="1" applyFont="1">
      <alignment readingOrder="0"/>
    </xf>
    <xf borderId="0" fillId="9" fontId="3" numFmtId="0" xfId="0" applyFont="1"/>
    <xf borderId="0" fillId="10" fontId="3" numFmtId="0" xfId="0" applyAlignment="1" applyFill="1" applyFont="1">
      <alignment readingOrder="0"/>
    </xf>
    <xf borderId="7" fillId="6" fontId="1" numFmtId="0" xfId="0" applyAlignment="1" applyBorder="1" applyFont="1">
      <alignment horizontal="center" readingOrder="0" vertical="bottom"/>
    </xf>
    <xf borderId="8" fillId="0" fontId="1" numFmtId="0" xfId="0" applyAlignment="1" applyBorder="1" applyFont="1">
      <alignment horizontal="right" vertical="bottom"/>
    </xf>
    <xf borderId="9" fillId="0" fontId="1" numFmtId="0" xfId="0" applyAlignment="1" applyBorder="1" applyFont="1">
      <alignment horizontal="right" vertical="bottom"/>
    </xf>
    <xf borderId="10" fillId="0" fontId="1" numFmtId="0" xfId="0" applyAlignment="1" applyBorder="1" applyFont="1">
      <alignment horizontal="right" vertical="bottom"/>
    </xf>
    <xf borderId="0" fillId="0" fontId="3" numFmtId="0" xfId="0" applyAlignment="1" applyFont="1">
      <alignment horizontal="right" readingOrder="0"/>
    </xf>
    <xf borderId="0" fillId="0" fontId="3" numFmtId="9" xfId="0" applyFont="1" applyNumberFormat="1"/>
    <xf borderId="0" fillId="0" fontId="3" numFmtId="1" xfId="0" applyFont="1" applyNumberFormat="1"/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'Decile analysis'!$C$30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'Decile analysis'!$A$31:$A$40</c:f>
            </c:strRef>
          </c:cat>
          <c:val>
            <c:numRef>
              <c:f>'Decile analysis'!$C$31:$C$40</c:f>
              <c:numCache/>
            </c:numRef>
          </c:val>
        </c:ser>
        <c:axId val="503733086"/>
        <c:axId val="797110508"/>
      </c:barChart>
      <c:lineChart>
        <c:varyColors val="0"/>
        <c:ser>
          <c:idx val="1"/>
          <c:order val="1"/>
          <c:tx>
            <c:strRef>
              <c:f>'Decile analysis'!$D$30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'Decile analysis'!$A$31:$A$40</c:f>
            </c:strRef>
          </c:cat>
          <c:val>
            <c:numRef>
              <c:f>'Decile analysis'!$D$31:$D$40</c:f>
              <c:numCache/>
            </c:numRef>
          </c:val>
          <c:smooth val="0"/>
        </c:ser>
        <c:axId val="503733086"/>
        <c:axId val="797110508"/>
      </c:lineChart>
      <c:catAx>
        <c:axId val="5037330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7110508"/>
      </c:catAx>
      <c:valAx>
        <c:axId val="7971105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37330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'Decile analysis'!$B$16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'Decile analysis'!$A$17:$A$26</c:f>
            </c:strRef>
          </c:cat>
          <c:val>
            <c:numRef>
              <c:f>'Decile analysis'!$B$17:$B$26</c:f>
              <c:numCache/>
            </c:numRef>
          </c:val>
        </c:ser>
        <c:ser>
          <c:idx val="1"/>
          <c:order val="1"/>
          <c:tx>
            <c:strRef>
              <c:f>'Decile analysis'!$D$16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'Decile analysis'!$A$17:$A$26</c:f>
            </c:strRef>
          </c:cat>
          <c:val>
            <c:numRef>
              <c:f>'Decile analysis'!$D$17:$D$26</c:f>
              <c:numCache/>
            </c:numRef>
          </c:val>
        </c:ser>
        <c:axId val="892323727"/>
        <c:axId val="916065948"/>
      </c:barChart>
      <c:catAx>
        <c:axId val="8923237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6065948"/>
      </c:catAx>
      <c:valAx>
        <c:axId val="9160659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23237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'Cohort analysis'!$F$1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'Cohort analysis'!$A$2:$A$17</c:f>
            </c:strRef>
          </c:cat>
          <c:val>
            <c:numRef>
              <c:f>'Cohort analysis'!$F$2:$F$17</c:f>
              <c:numCache/>
            </c:numRef>
          </c:val>
          <c:smooth val="0"/>
        </c:ser>
        <c:axId val="807899921"/>
        <c:axId val="357199722"/>
      </c:lineChart>
      <c:catAx>
        <c:axId val="8078999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7199722"/>
      </c:catAx>
      <c:valAx>
        <c:axId val="3571997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78999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%active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'3 cohort analysis'!$B$37:$B$38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'3 cohort analysis'!$A$39:$A$52</c:f>
            </c:strRef>
          </c:cat>
          <c:val>
            <c:numRef>
              <c:f>'3 cohort analysis'!$B$39:$B$52</c:f>
              <c:numCache/>
            </c:numRef>
          </c:val>
          <c:smooth val="0"/>
        </c:ser>
        <c:ser>
          <c:idx val="1"/>
          <c:order val="1"/>
          <c:tx>
            <c:strRef>
              <c:f>'3 cohort analysis'!$C$37:$C$38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'3 cohort analysis'!$A$39:$A$52</c:f>
            </c:strRef>
          </c:cat>
          <c:val>
            <c:numRef>
              <c:f>'3 cohort analysis'!$C$39:$C$52</c:f>
              <c:numCache/>
            </c:numRef>
          </c:val>
          <c:smooth val="0"/>
        </c:ser>
        <c:ser>
          <c:idx val="2"/>
          <c:order val="2"/>
          <c:tx>
            <c:strRef>
              <c:f>'3 cohort analysis'!$D$37:$D$38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'3 cohort analysis'!$A$39:$A$52</c:f>
            </c:strRef>
          </c:cat>
          <c:val>
            <c:numRef>
              <c:f>'3 cohort analysis'!$D$39:$D$52</c:f>
              <c:numCache/>
            </c:numRef>
          </c:val>
          <c:smooth val="0"/>
        </c:ser>
        <c:axId val="1378983397"/>
        <c:axId val="1150694699"/>
      </c:lineChart>
      <c:catAx>
        <c:axId val="13789833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0694699"/>
      </c:catAx>
      <c:valAx>
        <c:axId val="11506946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89833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Avg spend/acive customer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'3 cohort analysis'!$E$38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'3 cohort analysis'!$A$39:$A$52</c:f>
            </c:strRef>
          </c:cat>
          <c:val>
            <c:numRef>
              <c:f>'3 cohort analysis'!$E$39:$E$52</c:f>
              <c:numCache/>
            </c:numRef>
          </c:val>
          <c:smooth val="0"/>
        </c:ser>
        <c:ser>
          <c:idx val="1"/>
          <c:order val="1"/>
          <c:tx>
            <c:strRef>
              <c:f>'3 cohort analysis'!$F$38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'3 cohort analysis'!$A$39:$A$52</c:f>
            </c:strRef>
          </c:cat>
          <c:val>
            <c:numRef>
              <c:f>'3 cohort analysis'!$F$39:$F$52</c:f>
              <c:numCache/>
            </c:numRef>
          </c:val>
          <c:smooth val="0"/>
        </c:ser>
        <c:ser>
          <c:idx val="2"/>
          <c:order val="2"/>
          <c:tx>
            <c:strRef>
              <c:f>'3 cohort analysis'!$G$38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'3 cohort analysis'!$A$39:$A$52</c:f>
            </c:strRef>
          </c:cat>
          <c:val>
            <c:numRef>
              <c:f>'3 cohort analysis'!$G$39:$G$52</c:f>
              <c:numCache/>
            </c:numRef>
          </c:val>
          <c:smooth val="0"/>
        </c:ser>
        <c:axId val="457716977"/>
        <c:axId val="896012617"/>
      </c:lineChart>
      <c:catAx>
        <c:axId val="4577169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6012617"/>
      </c:catAx>
      <c:valAx>
        <c:axId val="8960126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77169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AOV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'3 cohort analysis'!$H$38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'3 cohort analysis'!$A$39:$A$52</c:f>
            </c:strRef>
          </c:cat>
          <c:val>
            <c:numRef>
              <c:f>'3 cohort analysis'!$H$39:$H$52</c:f>
              <c:numCache/>
            </c:numRef>
          </c:val>
          <c:smooth val="0"/>
        </c:ser>
        <c:ser>
          <c:idx val="1"/>
          <c:order val="1"/>
          <c:tx>
            <c:strRef>
              <c:f>'3 cohort analysis'!$I$38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'3 cohort analysis'!$A$39:$A$52</c:f>
            </c:strRef>
          </c:cat>
          <c:val>
            <c:numRef>
              <c:f>'3 cohort analysis'!$I$39:$I$52</c:f>
              <c:numCache/>
            </c:numRef>
          </c:val>
          <c:smooth val="0"/>
        </c:ser>
        <c:ser>
          <c:idx val="2"/>
          <c:order val="2"/>
          <c:tx>
            <c:strRef>
              <c:f>'3 cohort analysis'!$J$38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'3 cohort analysis'!$A$39:$A$52</c:f>
            </c:strRef>
          </c:cat>
          <c:val>
            <c:numRef>
              <c:f>'3 cohort analysis'!$J$39:$J$52</c:f>
              <c:numCache/>
            </c:numRef>
          </c:val>
          <c:smooth val="0"/>
        </c:ser>
        <c:axId val="1161777707"/>
        <c:axId val="1143811216"/>
      </c:lineChart>
      <c:catAx>
        <c:axId val="11617777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3811216"/>
      </c:catAx>
      <c:valAx>
        <c:axId val="11438112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17777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228600</xdr:colOff>
      <xdr:row>29</xdr:row>
      <xdr:rowOff>85725</xdr:rowOff>
    </xdr:from>
    <xdr:ext cx="4629150" cy="28670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361950</xdr:colOff>
      <xdr:row>13</xdr:row>
      <xdr:rowOff>85725</xdr:rowOff>
    </xdr:from>
    <xdr:ext cx="4371975" cy="27051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180975</xdr:colOff>
      <xdr:row>0</xdr:row>
      <xdr:rowOff>209550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53</xdr:row>
      <xdr:rowOff>123825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352425</xdr:colOff>
      <xdr:row>53</xdr:row>
      <xdr:rowOff>123825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590550</xdr:colOff>
      <xdr:row>53</xdr:row>
      <xdr:rowOff>123825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2" sheet="Decile analysis"/>
  </cacheSource>
  <cacheFields>
    <cacheField name="Decile">
      <sharedItems containsMixedTypes="1" containsNumber="1" containsInteger="1">
        <n v="1.0"/>
        <n v="2.0"/>
        <n v="3.0"/>
        <n v="4.0"/>
        <n v="5.0"/>
        <n v="6.0"/>
        <n v="7.0"/>
        <n v="8.0"/>
        <n v="9.0"/>
        <n v="10.0"/>
        <s v="TOTAL"/>
      </sharedItems>
    </cacheField>
    <cacheField name="# Customers" numFmtId="3">
      <sharedItems containsSemiMixedTypes="0" containsString="0" containsNumber="1" containsInteger="1">
        <n v="3180.0"/>
        <n v="3177.0"/>
        <n v="3178.0"/>
        <n v="3183.0"/>
        <n v="3124.0"/>
        <n v="3233.0"/>
        <n v="2996.0"/>
        <n v="3360.0"/>
        <n v="3186.0"/>
        <n v="31797.0"/>
      </sharedItems>
    </cacheField>
    <cacheField name="Total Transactions" numFmtId="3">
      <sharedItems containsSemiMixedTypes="0" containsString="0" containsNumber="1" containsInteger="1">
        <n v="17503.0"/>
        <n v="8703.0"/>
        <n v="6345.0"/>
        <n v="5349.0"/>
        <n v="4683.0"/>
        <n v="4330.0"/>
        <n v="4004.0"/>
        <n v="3414.0"/>
        <n v="3659.0"/>
        <n v="3270.0"/>
        <n v="61260.0"/>
      </sharedItems>
    </cacheField>
    <cacheField name="Revenue" numFmtId="3">
      <sharedItems containsSemiMixedTypes="0" containsString="0" containsNumber="1" containsInteger="1">
        <n v="1.28952505E8"/>
        <n v="5.5542905E7"/>
        <n v="3.8274225E7"/>
        <n v="2.901701E7"/>
        <n v="2.2555225E7"/>
        <n v="1.7169955E7"/>
        <n v="1.347071E7"/>
        <n v="9381075.0"/>
        <n v="7496500.0"/>
        <n v="3740550.0"/>
        <n v="3.2560066E8"/>
      </sharedItems>
    </cacheField>
    <cacheField name="Profit" numFmtId="3">
      <sharedItems containsSemiMixedTypes="0" containsString="0" containsNumber="1" containsInteger="1">
        <n v="6.2160175E7"/>
        <n v="2.707903E7"/>
        <n v="1.8722055E7"/>
        <n v="1.3916595E7"/>
        <n v="1.0734405E7"/>
        <n v="7948270.0"/>
        <n v="6240025.0"/>
        <n v="4326685.0"/>
        <n v="3334100.0"/>
        <n v="1554795.0"/>
        <n v="1.56016135E8"/>
      </sharedItems>
    </cacheField>
    <cacheField name="# customers2" numFmtId="9">
      <sharedItems containsSemiMixedTypes="0" containsString="0" containsNumber="1">
        <n v="0.10000943485234456"/>
        <n v="0.09991508632889895"/>
        <n v="0.09994653583671416"/>
        <n v="0.10010378337579016"/>
        <n v="0.09824826241469321"/>
        <n v="0.1016762587665503"/>
        <n v="0.09422272541434727"/>
        <n v="0.10567034625908105"/>
        <n v="0.10019813189923578"/>
        <n v="1.0"/>
      </sharedItems>
    </cacheField>
    <cacheField name="total transactions2" numFmtId="9">
      <sharedItems containsSemiMixedTypes="0" containsString="0" containsNumber="1">
        <n v="0.2857166176950702"/>
        <n v="0.1420666013712047"/>
        <n v="0.10357492654260529"/>
        <n v="0.08731635651322234"/>
        <n v="0.07644466209598433"/>
        <n v="0.07068233757753836"/>
        <n v="0.06536075742735879"/>
        <n v="0.055729676787463274"/>
        <n v="0.05972902383284362"/>
        <n v="0.05337904015670911"/>
        <n v="1.0"/>
      </sharedItems>
    </cacheField>
    <cacheField name="revenue2" numFmtId="9">
      <sharedItems containsSemiMixedTypes="0" containsString="0" containsNumber="1">
        <n v="0.3960449742331603"/>
        <n v="0.17058597178519233"/>
        <n v="0.11754959280487945"/>
        <n v="0.08911840043567479"/>
        <n v="0.06927266363649263"/>
        <n v="0.05273317013546594"/>
        <n v="0.041371875597549464"/>
        <n v="0.02881159700351959"/>
        <n v="0.02302360197918518"/>
        <n v="0.011488152388880292"/>
        <n v="1.0"/>
      </sharedItems>
    </cacheField>
    <cacheField name="profit2" numFmtId="9">
      <sharedItems containsSemiMixedTypes="0" containsString="0" containsNumber="1">
        <n v="0.3984214517299765"/>
        <n v="0.17356557384273108"/>
        <n v="0.12000076145970415"/>
        <n v="0.08919971642676573"/>
        <n v="0.06880317218472308"/>
        <n v="0.050945179484160406"/>
        <n v="0.03999602348821165"/>
        <n v="0.027732291919678694"/>
        <n v="0.021370225585962632"/>
        <n v="0.00996560387808607"/>
        <n v="1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ecile analysis" cacheId="0" dataCaption="" compact="0" compactData="0">
  <location ref="A16:E27" firstHeaderRow="0" firstDataRow="2" firstDataCol="0"/>
  <pivotFields>
    <pivotField name="Decile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h="1" x="10"/>
        <item t="default"/>
      </items>
    </pivotField>
    <pivotField name="# Customer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otal Transaction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Revenue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Profit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# customers2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otal transactions2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revenue2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profit2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>
    <field x="0"/>
  </rowFields>
  <colFields>
    <field x="-2"/>
  </colFields>
  <dataFields>
    <dataField name="SUM of Profit" fld="4" baseField="0"/>
    <dataField name="SUM of Profit" fld="4" showDataAs="percentOfCol" baseField="0" numFmtId="10"/>
    <dataField name="SUM of Revenue" fld="3" baseField="0"/>
    <dataField name="SUM of Revenue" fld="3" showDataAs="percentOfCol" baseField="0" numFmtId="10"/>
  </dataFields>
</pivotTableDefinition>
</file>

<file path=xl/pivotTables/pivotTable2.xml><?xml version="1.0" encoding="utf-8"?>
<pivotTableDefinition xmlns="http://schemas.openxmlformats.org/spreadsheetml/2006/main" name="Decile analysis 2" cacheId="0" dataCaption="" compact="0" compactData="0">
  <location ref="A30:C41" firstHeaderRow="0" firstDataRow="2" firstDataCol="0"/>
  <pivotFields>
    <pivotField name="Decile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h="1" x="10"/>
        <item t="default"/>
      </items>
    </pivotField>
    <pivotField name="# Customer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otal Transaction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Revenu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Profit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# customers2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otal transactions2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revenue2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profit2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>
    <field x="0"/>
  </rowFields>
  <colFields>
    <field x="-2"/>
  </colFields>
  <dataFields>
    <dataField name="SUM of Profit" fld="4" baseField="0"/>
    <dataField name="SUM of Profit" fld="4" showDataAs="percentOfCol" baseField="0" numFmtId="1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</v>
      </c>
      <c r="G1" s="1" t="s">
        <v>2</v>
      </c>
      <c r="H1" s="1" t="s">
        <v>3</v>
      </c>
      <c r="I1" s="1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</row>
    <row r="2">
      <c r="A2" s="4">
        <v>1.0</v>
      </c>
      <c r="B2" s="5">
        <v>3180.0</v>
      </c>
      <c r="C2" s="5">
        <v>17503.0</v>
      </c>
      <c r="D2" s="5">
        <v>1.28952505E8</v>
      </c>
      <c r="E2" s="5">
        <v>6.2160175E7</v>
      </c>
      <c r="F2" s="6">
        <f t="array" ref="F2">B2/B$12</f>
        <v>0.1000094349</v>
      </c>
      <c r="G2" s="6">
        <f t="array" ref="G2">C2/C$12</f>
        <v>0.2857166177</v>
      </c>
      <c r="H2" s="6">
        <f t="array" ref="H2">D2/D$12</f>
        <v>0.3960449742</v>
      </c>
      <c r="I2" s="6">
        <f t="array" ref="I2">E2/E$12</f>
        <v>0.3984214517</v>
      </c>
      <c r="J2" s="7">
        <f t="shared" ref="J2:J11" si="1">D2/B2</f>
        <v>40551.1022</v>
      </c>
      <c r="K2" s="7">
        <f>E2/B2</f>
        <v>19547.22484</v>
      </c>
      <c r="L2" s="8">
        <f t="shared" ref="L2:L3" si="2">C2/B2</f>
        <v>5.50408805</v>
      </c>
      <c r="M2" s="9">
        <v>7367.45157972919</v>
      </c>
      <c r="N2" s="10">
        <v>0.48203929811212276</v>
      </c>
    </row>
    <row r="3">
      <c r="A3" s="11">
        <v>2.0</v>
      </c>
      <c r="B3" s="12">
        <v>3180.0</v>
      </c>
      <c r="C3" s="12">
        <v>8703.0</v>
      </c>
      <c r="D3" s="12">
        <v>5.5542905E7</v>
      </c>
      <c r="E3" s="12">
        <v>2.707903E7</v>
      </c>
      <c r="F3" s="6">
        <f t="array" ref="F3">B3/B$12</f>
        <v>0.1000094349</v>
      </c>
      <c r="G3" s="6">
        <f t="array" ref="G3">C3/C$12</f>
        <v>0.1420666014</v>
      </c>
      <c r="H3" s="6">
        <f t="array" ref="H3">D3/D$12</f>
        <v>0.1705859718</v>
      </c>
      <c r="I3" s="6">
        <f t="array" ref="I3">E3/E$12</f>
        <v>0.1735655738</v>
      </c>
      <c r="J3" s="7">
        <f t="shared" si="1"/>
        <v>17466.32233</v>
      </c>
      <c r="K3" s="7">
        <v>8515.41823899371</v>
      </c>
      <c r="L3" s="8">
        <f t="shared" si="2"/>
        <v>2.736792453</v>
      </c>
      <c r="M3" s="9">
        <v>6382.0412501436285</v>
      </c>
      <c r="N3" s="10">
        <v>0.48753355626609735</v>
      </c>
    </row>
    <row r="4">
      <c r="A4" s="4">
        <v>3.0</v>
      </c>
      <c r="B4" s="5">
        <v>3177.0</v>
      </c>
      <c r="C4" s="5">
        <v>6345.0</v>
      </c>
      <c r="D4" s="5">
        <v>3.8274225E7</v>
      </c>
      <c r="E4" s="5">
        <v>1.8722055E7</v>
      </c>
      <c r="F4" s="6">
        <f t="array" ref="F4">B4/B$12</f>
        <v>0.09991508633</v>
      </c>
      <c r="G4" s="6">
        <f t="array" ref="G4">C4/C$12</f>
        <v>0.1035749265</v>
      </c>
      <c r="H4" s="6">
        <f t="array" ref="H4">D4/D$12</f>
        <v>0.1175495928</v>
      </c>
      <c r="I4" s="6">
        <f t="array" ref="I4">E4/E$12</f>
        <v>0.1200007615</v>
      </c>
      <c r="J4" s="7">
        <f t="shared" si="1"/>
        <v>12047.28517</v>
      </c>
      <c r="K4" s="7">
        <v>5892.9981114258735</v>
      </c>
      <c r="L4" s="8">
        <v>1.9971671388101984</v>
      </c>
      <c r="M4" s="9">
        <v>6032.1867612293145</v>
      </c>
      <c r="N4" s="10">
        <v>0.4891556915914039</v>
      </c>
    </row>
    <row r="5">
      <c r="A5" s="4">
        <v>4.0</v>
      </c>
      <c r="B5" s="5">
        <v>3178.0</v>
      </c>
      <c r="C5" s="5">
        <v>5349.0</v>
      </c>
      <c r="D5" s="5">
        <v>2.901701E7</v>
      </c>
      <c r="E5" s="5">
        <v>1.3916595E7</v>
      </c>
      <c r="F5" s="6">
        <f t="array" ref="F5">B5/B$12</f>
        <v>0.09994653584</v>
      </c>
      <c r="G5" s="6">
        <f t="array" ref="G5">C5/C$12</f>
        <v>0.08731635651</v>
      </c>
      <c r="H5" s="6">
        <f t="array" ref="H5">D5/D$12</f>
        <v>0.08911840044</v>
      </c>
      <c r="I5" s="6">
        <f t="array" ref="I5">E5/E$12</f>
        <v>0.08919971643</v>
      </c>
      <c r="J5" s="7">
        <f t="shared" si="1"/>
        <v>9130.58842</v>
      </c>
      <c r="K5" s="7">
        <v>4379.041850220265</v>
      </c>
      <c r="L5" s="8">
        <v>1.6831340465701699</v>
      </c>
      <c r="M5" s="9">
        <v>5424.75415965601</v>
      </c>
      <c r="N5" s="10">
        <v>0.47960127525199875</v>
      </c>
    </row>
    <row r="6">
      <c r="A6" s="4">
        <v>5.0</v>
      </c>
      <c r="B6" s="5">
        <v>3183.0</v>
      </c>
      <c r="C6" s="5">
        <v>4683.0</v>
      </c>
      <c r="D6" s="5">
        <v>2.2555225E7</v>
      </c>
      <c r="E6" s="5">
        <v>1.0734405E7</v>
      </c>
      <c r="F6" s="6">
        <f t="array" ref="F6">B6/B$12</f>
        <v>0.1001037834</v>
      </c>
      <c r="G6" s="6">
        <f t="array" ref="G6">C6/C$12</f>
        <v>0.0764446621</v>
      </c>
      <c r="H6" s="6">
        <f t="array" ref="H6">D6/D$12</f>
        <v>0.06927266364</v>
      </c>
      <c r="I6" s="6">
        <f t="array" ref="I6">E6/E$12</f>
        <v>0.06880317218</v>
      </c>
      <c r="J6" s="7">
        <f t="shared" si="1"/>
        <v>7086.153</v>
      </c>
      <c r="K6" s="7">
        <v>3372.4175306314796</v>
      </c>
      <c r="L6" s="8">
        <v>1.471253534401508</v>
      </c>
      <c r="M6" s="9">
        <v>4816.405082212257</v>
      </c>
      <c r="N6" s="10">
        <v>0.4759165559199698</v>
      </c>
    </row>
    <row r="7">
      <c r="A7" s="4">
        <v>6.0</v>
      </c>
      <c r="B7" s="5">
        <v>3124.0</v>
      </c>
      <c r="C7" s="5">
        <v>4330.0</v>
      </c>
      <c r="D7" s="5">
        <v>1.7169955E7</v>
      </c>
      <c r="E7" s="5">
        <v>7948270.0</v>
      </c>
      <c r="F7" s="6">
        <f t="array" ref="F7">B7/B$12</f>
        <v>0.09824826241</v>
      </c>
      <c r="G7" s="6">
        <f t="array" ref="G7">C7/C$12</f>
        <v>0.07068233758</v>
      </c>
      <c r="H7" s="6">
        <f t="array" ref="H7">D7/D$12</f>
        <v>0.05273317014</v>
      </c>
      <c r="I7" s="6">
        <f t="array" ref="I7">E7/E$12</f>
        <v>0.05094517948</v>
      </c>
      <c r="J7" s="13">
        <f t="shared" si="1"/>
        <v>5496.144366</v>
      </c>
      <c r="K7" s="13">
        <v>2544.260563380282</v>
      </c>
      <c r="L7" s="14">
        <v>1.3860435339308579</v>
      </c>
      <c r="M7" s="15">
        <v>3965.347575057737</v>
      </c>
      <c r="N7" s="16">
        <v>0.46291734602682416</v>
      </c>
    </row>
    <row r="8">
      <c r="A8" s="4">
        <v>7.0</v>
      </c>
      <c r="B8" s="5">
        <v>3233.0</v>
      </c>
      <c r="C8" s="5">
        <v>4004.0</v>
      </c>
      <c r="D8" s="5">
        <v>1.347071E7</v>
      </c>
      <c r="E8" s="5">
        <v>6240025.0</v>
      </c>
      <c r="F8" s="6">
        <f t="array" ref="F8">B8/B$12</f>
        <v>0.1016762588</v>
      </c>
      <c r="G8" s="6">
        <f t="array" ref="G8">C8/C$12</f>
        <v>0.06536075743</v>
      </c>
      <c r="H8" s="6">
        <f t="array" ref="H8">D8/D$12</f>
        <v>0.0413718756</v>
      </c>
      <c r="I8" s="6">
        <f t="array" ref="I8">E8/E$12</f>
        <v>0.03999602349</v>
      </c>
      <c r="J8" s="13">
        <f t="shared" si="1"/>
        <v>4166.628518</v>
      </c>
      <c r="K8" s="13">
        <v>1930.1036189297865</v>
      </c>
      <c r="L8" s="14">
        <v>1.238478193628209</v>
      </c>
      <c r="M8" s="15">
        <v>3364.313186813187</v>
      </c>
      <c r="N8" s="16">
        <v>0.4632291096757335</v>
      </c>
    </row>
    <row r="9">
      <c r="A9" s="4">
        <v>8.0</v>
      </c>
      <c r="B9" s="5">
        <v>2996.0</v>
      </c>
      <c r="C9" s="5">
        <v>3414.0</v>
      </c>
      <c r="D9" s="5">
        <v>9381075.0</v>
      </c>
      <c r="E9" s="5">
        <v>4326685.0</v>
      </c>
      <c r="F9" s="6">
        <f t="array" ref="F9">B9/B$12</f>
        <v>0.09422272541</v>
      </c>
      <c r="G9" s="6">
        <f t="array" ref="G9">C9/C$12</f>
        <v>0.05572967679</v>
      </c>
      <c r="H9" s="6">
        <f t="array" ref="H9">D9/D$12</f>
        <v>0.028811597</v>
      </c>
      <c r="I9" s="6">
        <f t="array" ref="I9">E9/E$12</f>
        <v>0.02773229192</v>
      </c>
      <c r="J9" s="13">
        <f t="shared" si="1"/>
        <v>3131.199933</v>
      </c>
      <c r="K9" s="13">
        <v>1444.1538718291056</v>
      </c>
      <c r="L9" s="14">
        <v>1.1395193591455273</v>
      </c>
      <c r="M9" s="15">
        <v>2747.8251318101934</v>
      </c>
      <c r="N9" s="16">
        <v>0.46121419986515405</v>
      </c>
    </row>
    <row r="10">
      <c r="A10" s="4">
        <v>9.0</v>
      </c>
      <c r="B10" s="5">
        <v>3360.0</v>
      </c>
      <c r="C10" s="5">
        <v>3659.0</v>
      </c>
      <c r="D10" s="5">
        <v>7496500.0</v>
      </c>
      <c r="E10" s="5">
        <v>3334100.0</v>
      </c>
      <c r="F10" s="6">
        <f t="array" ref="F10">B10/B$12</f>
        <v>0.1056703463</v>
      </c>
      <c r="G10" s="6">
        <f t="array" ref="G10">C10/C$12</f>
        <v>0.05972902383</v>
      </c>
      <c r="H10" s="6">
        <f t="array" ref="H10">D10/D$12</f>
        <v>0.02302360198</v>
      </c>
      <c r="I10" s="6">
        <f t="array" ref="I10">E10/E$12</f>
        <v>0.02137022559</v>
      </c>
      <c r="J10" s="13">
        <f t="shared" si="1"/>
        <v>2231.10119</v>
      </c>
      <c r="K10" s="13">
        <v>992.2916666666666</v>
      </c>
      <c r="L10" s="14">
        <v>1.0889880952380953</v>
      </c>
      <c r="M10" s="15">
        <v>2048.7838207160426</v>
      </c>
      <c r="N10" s="16">
        <v>0.4447542186353632</v>
      </c>
    </row>
    <row r="11">
      <c r="A11" s="4">
        <v>10.0</v>
      </c>
      <c r="B11" s="5">
        <v>3186.0</v>
      </c>
      <c r="C11" s="5">
        <v>3270.0</v>
      </c>
      <c r="D11" s="5">
        <v>3740550.0</v>
      </c>
      <c r="E11" s="5">
        <v>1554795.0</v>
      </c>
      <c r="F11" s="6">
        <f t="array" ref="F11">B11/B$12</f>
        <v>0.1001981319</v>
      </c>
      <c r="G11" s="6">
        <f t="array" ref="G11">C11/C$12</f>
        <v>0.05337904016</v>
      </c>
      <c r="H11" s="6">
        <f t="array" ref="H11">D11/D$12</f>
        <v>0.01148815239</v>
      </c>
      <c r="I11" s="6">
        <f t="array" ref="I11">E11/E$12</f>
        <v>0.009965603878</v>
      </c>
      <c r="J11" s="17">
        <f t="shared" si="1"/>
        <v>1174.05838</v>
      </c>
      <c r="K11" s="17">
        <v>488.00847457627117</v>
      </c>
      <c r="L11" s="18">
        <v>1.0263653483992468</v>
      </c>
      <c r="M11" s="19">
        <v>1143.8990825688074</v>
      </c>
      <c r="N11" s="20">
        <v>0.4156594618438465</v>
      </c>
    </row>
    <row r="12">
      <c r="A12" s="21" t="s">
        <v>10</v>
      </c>
      <c r="B12" s="22">
        <f t="shared" ref="B12:I12" si="3">SUM(B2:B11)</f>
        <v>31797</v>
      </c>
      <c r="C12" s="22">
        <f t="shared" si="3"/>
        <v>61260</v>
      </c>
      <c r="D12" s="22">
        <f t="shared" si="3"/>
        <v>325600660</v>
      </c>
      <c r="E12" s="22">
        <f t="shared" si="3"/>
        <v>156016135</v>
      </c>
      <c r="F12" s="23">
        <f t="shared" si="3"/>
        <v>1</v>
      </c>
      <c r="G12" s="23">
        <f t="shared" si="3"/>
        <v>1</v>
      </c>
      <c r="H12" s="23">
        <f t="shared" si="3"/>
        <v>1</v>
      </c>
      <c r="I12" s="23">
        <f t="shared" si="3"/>
        <v>1</v>
      </c>
      <c r="J12" s="17">
        <f t="array" ref="J12">D12/$B$12</f>
        <v>10239.9805</v>
      </c>
      <c r="K12" s="17">
        <f t="array" ref="K12">E12/$B$12</f>
        <v>4906.630657</v>
      </c>
      <c r="L12" s="17">
        <f t="array" ref="L12">C12/$B$12</f>
        <v>1.926596849</v>
      </c>
      <c r="M12" s="17">
        <f t="shared" ref="M12:N12" si="4">D12/C12</f>
        <v>5315.061378</v>
      </c>
      <c r="N12" s="20">
        <f t="shared" si="4"/>
        <v>0.4791640625</v>
      </c>
    </row>
    <row r="16"/>
    <row r="17"/>
    <row r="18"/>
    <row r="19"/>
    <row r="20"/>
    <row r="21"/>
    <row r="22"/>
    <row r="23"/>
    <row r="24"/>
    <row r="25"/>
    <row r="26"/>
    <row r="27"/>
    <row r="29">
      <c r="A29" s="27"/>
      <c r="B29" s="27"/>
      <c r="C29" s="27"/>
    </row>
    <row r="30">
      <c r="D30" s="28" t="s">
        <v>14</v>
      </c>
    </row>
    <row r="31">
      <c r="D31" s="26">
        <f>C31</f>
        <v>0.3984214517</v>
      </c>
    </row>
    <row r="32">
      <c r="D32" s="26">
        <f t="shared" ref="D32:D40" si="5">D31+C32</f>
        <v>0.5719870256</v>
      </c>
    </row>
    <row r="33">
      <c r="D33" s="26">
        <f t="shared" si="5"/>
        <v>0.691987787</v>
      </c>
    </row>
    <row r="34">
      <c r="D34" s="26">
        <f t="shared" si="5"/>
        <v>0.7811875035</v>
      </c>
    </row>
    <row r="35">
      <c r="D35" s="26">
        <f t="shared" si="5"/>
        <v>0.8499906756</v>
      </c>
    </row>
    <row r="36">
      <c r="D36" s="26">
        <f t="shared" si="5"/>
        <v>0.9009358551</v>
      </c>
    </row>
    <row r="37">
      <c r="D37" s="26">
        <f t="shared" si="5"/>
        <v>0.9409318786</v>
      </c>
    </row>
    <row r="38">
      <c r="D38" s="26">
        <f t="shared" si="5"/>
        <v>0.9686641705</v>
      </c>
    </row>
    <row r="39">
      <c r="D39" s="26">
        <f t="shared" si="5"/>
        <v>0.9900343961</v>
      </c>
    </row>
    <row r="40">
      <c r="D40" s="26">
        <f t="shared" si="5"/>
        <v>1</v>
      </c>
    </row>
    <row r="41"/>
    <row r="42">
      <c r="C42" s="26"/>
    </row>
  </sheetData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15</v>
      </c>
      <c r="B1" s="29" t="s">
        <v>1</v>
      </c>
      <c r="C1" s="29" t="s">
        <v>2</v>
      </c>
      <c r="D1" s="29" t="s">
        <v>3</v>
      </c>
      <c r="E1" s="29" t="s">
        <v>4</v>
      </c>
      <c r="F1" s="30" t="s">
        <v>16</v>
      </c>
    </row>
    <row r="2">
      <c r="A2" s="11" t="s">
        <v>17</v>
      </c>
      <c r="B2" s="12">
        <v>2943.0</v>
      </c>
      <c r="C2" s="12">
        <v>3683.0</v>
      </c>
      <c r="D2" s="12">
        <v>2.180398E7</v>
      </c>
      <c r="E2" s="12">
        <v>1.0398135E7</v>
      </c>
      <c r="F2" s="23">
        <f t="shared" ref="F2:F17" si="1">B2/$B$4</f>
        <v>9.402555911</v>
      </c>
    </row>
    <row r="3">
      <c r="A3" s="4" t="s">
        <v>18</v>
      </c>
      <c r="B3" s="5">
        <v>346.0</v>
      </c>
      <c r="C3" s="5">
        <v>513.0</v>
      </c>
      <c r="D3" s="5">
        <v>2765015.0</v>
      </c>
      <c r="E3" s="5">
        <v>1386330.0</v>
      </c>
      <c r="F3" s="23">
        <f t="shared" si="1"/>
        <v>1.10543131</v>
      </c>
    </row>
    <row r="4">
      <c r="A4" s="4" t="s">
        <v>19</v>
      </c>
      <c r="B4" s="5">
        <v>313.0</v>
      </c>
      <c r="C4" s="5">
        <v>451.0</v>
      </c>
      <c r="D4" s="5">
        <v>2352130.0</v>
      </c>
      <c r="E4" s="5">
        <v>1173700.0</v>
      </c>
      <c r="F4" s="23">
        <f t="shared" si="1"/>
        <v>1</v>
      </c>
    </row>
    <row r="5">
      <c r="A5" s="4" t="s">
        <v>20</v>
      </c>
      <c r="B5" s="5">
        <v>485.0</v>
      </c>
      <c r="C5" s="5">
        <v>819.0</v>
      </c>
      <c r="D5" s="5">
        <v>4692930.0</v>
      </c>
      <c r="E5" s="5">
        <v>2335300.0</v>
      </c>
      <c r="F5" s="23">
        <f t="shared" si="1"/>
        <v>1.549520767</v>
      </c>
    </row>
    <row r="6">
      <c r="A6" s="4" t="s">
        <v>21</v>
      </c>
      <c r="B6" s="5">
        <v>296.0</v>
      </c>
      <c r="C6" s="5">
        <v>435.0</v>
      </c>
      <c r="D6" s="5">
        <v>2411530.0</v>
      </c>
      <c r="E6" s="5">
        <v>1161600.0</v>
      </c>
      <c r="F6" s="23">
        <f t="shared" si="1"/>
        <v>0.945686901</v>
      </c>
    </row>
    <row r="7">
      <c r="A7" s="4" t="s">
        <v>22</v>
      </c>
      <c r="B7" s="5">
        <v>286.0</v>
      </c>
      <c r="C7" s="5">
        <v>453.0</v>
      </c>
      <c r="D7" s="5">
        <v>2186470.0</v>
      </c>
      <c r="E7" s="5">
        <v>1074425.0</v>
      </c>
      <c r="F7" s="23">
        <f t="shared" si="1"/>
        <v>0.9137380192</v>
      </c>
    </row>
    <row r="8">
      <c r="A8" s="4" t="s">
        <v>23</v>
      </c>
      <c r="B8" s="5">
        <v>245.0</v>
      </c>
      <c r="C8" s="5">
        <v>396.0</v>
      </c>
      <c r="D8" s="5">
        <v>2040280.0</v>
      </c>
      <c r="E8" s="5">
        <v>988295.0</v>
      </c>
      <c r="F8" s="23">
        <f t="shared" si="1"/>
        <v>0.7827476038</v>
      </c>
    </row>
    <row r="9">
      <c r="A9" s="4" t="s">
        <v>24</v>
      </c>
      <c r="B9" s="5">
        <v>420.0</v>
      </c>
      <c r="C9" s="5">
        <v>808.0</v>
      </c>
      <c r="D9" s="5">
        <v>4619175.0</v>
      </c>
      <c r="E9" s="5">
        <v>2215950.0</v>
      </c>
      <c r="F9" s="23">
        <f t="shared" si="1"/>
        <v>1.341853035</v>
      </c>
    </row>
    <row r="10">
      <c r="A10" s="4" t="s">
        <v>25</v>
      </c>
      <c r="B10" s="5">
        <v>312.0</v>
      </c>
      <c r="C10" s="5">
        <v>481.0</v>
      </c>
      <c r="D10" s="5">
        <v>2391565.0</v>
      </c>
      <c r="E10" s="5">
        <v>1101815.0</v>
      </c>
      <c r="F10" s="23">
        <f t="shared" si="1"/>
        <v>0.9968051118</v>
      </c>
    </row>
    <row r="11">
      <c r="A11" s="4" t="s">
        <v>26</v>
      </c>
      <c r="B11" s="5">
        <v>281.0</v>
      </c>
      <c r="C11" s="5">
        <v>462.0</v>
      </c>
      <c r="D11" s="5">
        <v>2061895.0</v>
      </c>
      <c r="E11" s="5">
        <v>960080.0</v>
      </c>
      <c r="F11" s="23">
        <f t="shared" si="1"/>
        <v>0.8977635783</v>
      </c>
    </row>
    <row r="12">
      <c r="A12" s="4" t="s">
        <v>27</v>
      </c>
      <c r="B12" s="5">
        <v>220.0</v>
      </c>
      <c r="C12" s="5">
        <v>384.0</v>
      </c>
      <c r="D12" s="5">
        <v>1826220.0</v>
      </c>
      <c r="E12" s="5">
        <v>838310.0</v>
      </c>
      <c r="F12" s="23">
        <f t="shared" si="1"/>
        <v>0.7028753994</v>
      </c>
    </row>
    <row r="13">
      <c r="A13" s="4" t="s">
        <v>28</v>
      </c>
      <c r="B13" s="5">
        <v>358.0</v>
      </c>
      <c r="C13" s="5">
        <v>722.0</v>
      </c>
      <c r="D13" s="5">
        <v>3652880.0</v>
      </c>
      <c r="E13" s="5">
        <v>1726835.0</v>
      </c>
      <c r="F13" s="23">
        <f t="shared" si="1"/>
        <v>1.143769968</v>
      </c>
    </row>
    <row r="14">
      <c r="A14" s="4" t="s">
        <v>29</v>
      </c>
      <c r="B14" s="5">
        <v>244.0</v>
      </c>
      <c r="C14" s="5">
        <v>397.0</v>
      </c>
      <c r="D14" s="5">
        <v>1945185.0</v>
      </c>
      <c r="E14" s="5">
        <v>908215.0</v>
      </c>
      <c r="F14" s="23">
        <f t="shared" si="1"/>
        <v>0.7795527157</v>
      </c>
    </row>
    <row r="15">
      <c r="A15" s="4" t="s">
        <v>30</v>
      </c>
      <c r="B15" s="5">
        <v>236.0</v>
      </c>
      <c r="C15" s="5">
        <v>390.0</v>
      </c>
      <c r="D15" s="5">
        <v>1882925.0</v>
      </c>
      <c r="E15" s="5">
        <v>884840.0</v>
      </c>
      <c r="F15" s="23">
        <f t="shared" si="1"/>
        <v>0.7539936102</v>
      </c>
    </row>
    <row r="16">
      <c r="A16" s="4" t="s">
        <v>31</v>
      </c>
      <c r="B16" s="5">
        <v>201.0</v>
      </c>
      <c r="C16" s="5">
        <v>338.0</v>
      </c>
      <c r="D16" s="5">
        <v>1504580.0</v>
      </c>
      <c r="E16" s="5">
        <v>703560.0</v>
      </c>
      <c r="F16" s="23">
        <f t="shared" si="1"/>
        <v>0.642172524</v>
      </c>
    </row>
    <row r="17">
      <c r="A17" s="31" t="s">
        <v>32</v>
      </c>
      <c r="B17" s="32">
        <v>353.0</v>
      </c>
      <c r="C17" s="32">
        <v>657.0</v>
      </c>
      <c r="D17" s="32">
        <v>3447070.0</v>
      </c>
      <c r="E17" s="32">
        <v>1627065.0</v>
      </c>
      <c r="F17" s="23">
        <f t="shared" si="1"/>
        <v>1.127795527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33</v>
      </c>
      <c r="B1" s="34"/>
      <c r="C1" s="34"/>
      <c r="D1" s="34"/>
      <c r="E1" s="35"/>
      <c r="F1" s="34"/>
      <c r="G1" s="34"/>
      <c r="H1" s="34"/>
      <c r="I1" s="34"/>
      <c r="J1" s="34"/>
      <c r="K1" s="33" t="s">
        <v>34</v>
      </c>
      <c r="L1" s="34"/>
      <c r="M1" s="34"/>
      <c r="N1" s="34"/>
      <c r="O1" s="34"/>
      <c r="P1" s="34"/>
      <c r="Q1" s="34"/>
      <c r="R1" s="34"/>
      <c r="S1" s="34"/>
      <c r="T1" s="34"/>
    </row>
    <row r="2">
      <c r="A2" s="29" t="s">
        <v>15</v>
      </c>
      <c r="B2" s="29" t="s">
        <v>1</v>
      </c>
      <c r="C2" s="29" t="s">
        <v>2</v>
      </c>
      <c r="D2" s="29" t="s">
        <v>3</v>
      </c>
      <c r="E2" s="36" t="s">
        <v>4</v>
      </c>
      <c r="F2" s="37" t="s">
        <v>35</v>
      </c>
      <c r="G2" s="37" t="s">
        <v>36</v>
      </c>
      <c r="H2" s="37" t="s">
        <v>37</v>
      </c>
      <c r="I2" s="37" t="s">
        <v>38</v>
      </c>
      <c r="J2" s="34"/>
      <c r="K2" s="29" t="s">
        <v>15</v>
      </c>
      <c r="L2" s="29" t="s">
        <v>1</v>
      </c>
      <c r="M2" s="29" t="s">
        <v>2</v>
      </c>
      <c r="N2" s="29" t="s">
        <v>3</v>
      </c>
      <c r="O2" s="29" t="s">
        <v>4</v>
      </c>
      <c r="P2" s="37" t="s">
        <v>35</v>
      </c>
      <c r="Q2" s="37" t="s">
        <v>36</v>
      </c>
      <c r="R2" s="37" t="s">
        <v>37</v>
      </c>
      <c r="S2" s="37" t="s">
        <v>38</v>
      </c>
      <c r="T2" s="34"/>
    </row>
    <row r="3">
      <c r="A3" s="4" t="s">
        <v>19</v>
      </c>
      <c r="B3" s="5">
        <v>2842.0</v>
      </c>
      <c r="C3" s="5">
        <v>3593.0</v>
      </c>
      <c r="D3" s="5">
        <v>1.8866045E7</v>
      </c>
      <c r="E3" s="38">
        <v>9389215.0</v>
      </c>
      <c r="F3" s="39">
        <f t="shared" ref="F3:F16" si="2">B3/$B$3</f>
        <v>1</v>
      </c>
      <c r="G3" s="40">
        <f t="shared" ref="G3:G16" si="3">D3/B3</f>
        <v>6638.298733</v>
      </c>
      <c r="H3" s="41">
        <f t="shared" ref="H3:I3" si="1">C3/B3</f>
        <v>1.264250528</v>
      </c>
      <c r="I3" s="40">
        <f t="shared" si="1"/>
        <v>5250.777901</v>
      </c>
      <c r="J3" s="34"/>
      <c r="K3" s="42"/>
      <c r="L3" s="43"/>
      <c r="M3" s="43"/>
      <c r="N3" s="5">
        <v>0.0</v>
      </c>
      <c r="O3" s="5">
        <v>0.0</v>
      </c>
      <c r="P3" s="44"/>
      <c r="Q3" s="45"/>
      <c r="R3" s="46"/>
      <c r="S3" s="45"/>
      <c r="T3" s="34"/>
    </row>
    <row r="4">
      <c r="A4" s="4" t="s">
        <v>20</v>
      </c>
      <c r="B4" s="5">
        <v>529.0</v>
      </c>
      <c r="C4" s="5">
        <v>818.0</v>
      </c>
      <c r="D4" s="5">
        <v>4377010.0</v>
      </c>
      <c r="E4" s="38">
        <v>2173325.0</v>
      </c>
      <c r="F4" s="39">
        <f t="shared" si="2"/>
        <v>0.1861365236</v>
      </c>
      <c r="G4" s="40">
        <f t="shared" si="3"/>
        <v>8274.120983</v>
      </c>
      <c r="H4" s="41">
        <f t="shared" ref="H4:I4" si="4">C4/B4</f>
        <v>1.5463138</v>
      </c>
      <c r="I4" s="40">
        <f t="shared" si="4"/>
        <v>5350.867971</v>
      </c>
      <c r="J4" s="34"/>
      <c r="K4" s="4" t="s">
        <v>20</v>
      </c>
      <c r="L4" s="5">
        <v>6161.0</v>
      </c>
      <c r="M4" s="5">
        <v>7980.0</v>
      </c>
      <c r="N4" s="5">
        <v>5.0815985E7</v>
      </c>
      <c r="O4" s="5">
        <v>2.616405E7</v>
      </c>
      <c r="P4" s="39">
        <f t="shared" ref="P4:P16" si="7">L4/$L$4</f>
        <v>1</v>
      </c>
      <c r="Q4" s="40">
        <f t="shared" ref="Q4:Q16" si="8">N4/L4</f>
        <v>8248.009252</v>
      </c>
      <c r="R4" s="41">
        <f t="shared" ref="R4:S4" si="5">M4/L4</f>
        <v>1.295244279</v>
      </c>
      <c r="S4" s="40">
        <f t="shared" si="5"/>
        <v>6367.91792</v>
      </c>
      <c r="T4" s="34"/>
    </row>
    <row r="5">
      <c r="A5" s="4" t="s">
        <v>21</v>
      </c>
      <c r="B5" s="5">
        <v>237.0</v>
      </c>
      <c r="C5" s="5">
        <v>325.0</v>
      </c>
      <c r="D5" s="5">
        <v>1908940.0</v>
      </c>
      <c r="E5" s="38">
        <v>942755.0</v>
      </c>
      <c r="F5" s="39">
        <f t="shared" si="2"/>
        <v>0.08339197748</v>
      </c>
      <c r="G5" s="40">
        <f t="shared" si="3"/>
        <v>8054.599156</v>
      </c>
      <c r="H5" s="41">
        <f t="shared" ref="H5:I5" si="6">C5/B5</f>
        <v>1.371308017</v>
      </c>
      <c r="I5" s="40">
        <f t="shared" si="6"/>
        <v>5873.661538</v>
      </c>
      <c r="J5" s="34"/>
      <c r="K5" s="4" t="s">
        <v>21</v>
      </c>
      <c r="L5" s="5">
        <v>619.0</v>
      </c>
      <c r="M5" s="5">
        <v>939.0</v>
      </c>
      <c r="N5" s="5">
        <v>5396435.0</v>
      </c>
      <c r="O5" s="5">
        <v>2596110.0</v>
      </c>
      <c r="P5" s="39">
        <f t="shared" si="7"/>
        <v>0.1004707028</v>
      </c>
      <c r="Q5" s="40">
        <f t="shared" si="8"/>
        <v>8717.988691</v>
      </c>
      <c r="R5" s="41">
        <f t="shared" ref="R5:S5" si="9">M5/L5</f>
        <v>1.516962843</v>
      </c>
      <c r="S5" s="40">
        <f t="shared" si="9"/>
        <v>5747.00213</v>
      </c>
      <c r="T5" s="34"/>
    </row>
    <row r="6">
      <c r="A6" s="4" t="s">
        <v>22</v>
      </c>
      <c r="B6" s="5">
        <v>318.0</v>
      </c>
      <c r="C6" s="5">
        <v>467.0</v>
      </c>
      <c r="D6" s="5">
        <v>2357300.0</v>
      </c>
      <c r="E6" s="38">
        <v>1154450.0</v>
      </c>
      <c r="F6" s="39">
        <f t="shared" si="2"/>
        <v>0.1118930331</v>
      </c>
      <c r="G6" s="40">
        <f t="shared" si="3"/>
        <v>7412.893082</v>
      </c>
      <c r="H6" s="41">
        <f t="shared" ref="H6:I6" si="10">C6/B6</f>
        <v>1.468553459</v>
      </c>
      <c r="I6" s="40">
        <f t="shared" si="10"/>
        <v>5047.751606</v>
      </c>
      <c r="J6" s="34"/>
      <c r="K6" s="4" t="s">
        <v>22</v>
      </c>
      <c r="L6" s="5">
        <v>546.0</v>
      </c>
      <c r="M6" s="5">
        <v>855.0</v>
      </c>
      <c r="N6" s="5">
        <v>4014505.0</v>
      </c>
      <c r="O6" s="5">
        <v>1990010.0</v>
      </c>
      <c r="P6" s="39">
        <f t="shared" si="7"/>
        <v>0.08862197695</v>
      </c>
      <c r="Q6" s="40">
        <f t="shared" si="8"/>
        <v>7352.57326</v>
      </c>
      <c r="R6" s="41">
        <f t="shared" ref="R6:S6" si="11">M6/L6</f>
        <v>1.565934066</v>
      </c>
      <c r="S6" s="40">
        <f t="shared" si="11"/>
        <v>4695.327485</v>
      </c>
      <c r="T6" s="34"/>
    </row>
    <row r="7">
      <c r="A7" s="4" t="s">
        <v>23</v>
      </c>
      <c r="B7" s="5">
        <v>317.0</v>
      </c>
      <c r="C7" s="5">
        <v>468.0</v>
      </c>
      <c r="D7" s="5">
        <v>2213530.0</v>
      </c>
      <c r="E7" s="38">
        <v>1063370.0</v>
      </c>
      <c r="F7" s="39">
        <f t="shared" si="2"/>
        <v>0.1115411682</v>
      </c>
      <c r="G7" s="40">
        <f t="shared" si="3"/>
        <v>6982.744479</v>
      </c>
      <c r="H7" s="41">
        <f t="shared" ref="H7:I7" si="12">C7/B7</f>
        <v>1.476340694</v>
      </c>
      <c r="I7" s="40">
        <f t="shared" si="12"/>
        <v>4729.764957</v>
      </c>
      <c r="J7" s="34"/>
      <c r="K7" s="4" t="s">
        <v>23</v>
      </c>
      <c r="L7" s="5">
        <v>451.0</v>
      </c>
      <c r="M7" s="5">
        <v>696.0</v>
      </c>
      <c r="N7" s="5">
        <v>3515930.0</v>
      </c>
      <c r="O7" s="5">
        <v>1742015.0</v>
      </c>
      <c r="P7" s="39">
        <f t="shared" si="7"/>
        <v>0.07320240221</v>
      </c>
      <c r="Q7" s="40">
        <f t="shared" si="8"/>
        <v>7795.853659</v>
      </c>
      <c r="R7" s="41">
        <f t="shared" ref="R7:S7" si="13">M7/L7</f>
        <v>1.543237251</v>
      </c>
      <c r="S7" s="40">
        <f t="shared" si="13"/>
        <v>5051.623563</v>
      </c>
      <c r="T7" s="34"/>
    </row>
    <row r="8">
      <c r="A8" s="4" t="s">
        <v>24</v>
      </c>
      <c r="B8" s="5">
        <v>366.0</v>
      </c>
      <c r="C8" s="5">
        <v>615.0</v>
      </c>
      <c r="D8" s="5">
        <v>3017685.0</v>
      </c>
      <c r="E8" s="38">
        <v>1435610.0</v>
      </c>
      <c r="F8" s="39">
        <f t="shared" si="2"/>
        <v>0.1287825475</v>
      </c>
      <c r="G8" s="40">
        <f t="shared" si="3"/>
        <v>8245.040984</v>
      </c>
      <c r="H8" s="41">
        <f t="shared" ref="H8:I8" si="14">C8/B8</f>
        <v>1.680327869</v>
      </c>
      <c r="I8" s="40">
        <f t="shared" si="14"/>
        <v>4906.804878</v>
      </c>
      <c r="J8" s="34"/>
      <c r="K8" s="4" t="s">
        <v>24</v>
      </c>
      <c r="L8" s="5">
        <v>939.0</v>
      </c>
      <c r="M8" s="5">
        <v>1579.0</v>
      </c>
      <c r="N8" s="5">
        <v>8754185.0</v>
      </c>
      <c r="O8" s="5">
        <v>4264700.0</v>
      </c>
      <c r="P8" s="39">
        <f t="shared" si="7"/>
        <v>0.152410323</v>
      </c>
      <c r="Q8" s="40">
        <f t="shared" si="8"/>
        <v>9322.880724</v>
      </c>
      <c r="R8" s="41">
        <f t="shared" ref="R8:S8" si="15">M8/L8</f>
        <v>1.681576145</v>
      </c>
      <c r="S8" s="40">
        <f t="shared" si="15"/>
        <v>5544.132362</v>
      </c>
      <c r="T8" s="34"/>
    </row>
    <row r="9">
      <c r="A9" s="4" t="s">
        <v>25</v>
      </c>
      <c r="B9" s="5">
        <v>234.0</v>
      </c>
      <c r="C9" s="5">
        <v>339.0</v>
      </c>
      <c r="D9" s="5">
        <v>1575365.0</v>
      </c>
      <c r="E9" s="38">
        <v>740795.0</v>
      </c>
      <c r="F9" s="39">
        <f t="shared" si="2"/>
        <v>0.08233638283</v>
      </c>
      <c r="G9" s="40">
        <f t="shared" si="3"/>
        <v>6732.32906</v>
      </c>
      <c r="H9" s="41">
        <f t="shared" ref="H9:I9" si="16">C9/B9</f>
        <v>1.448717949</v>
      </c>
      <c r="I9" s="40">
        <f t="shared" si="16"/>
        <v>4647.094395</v>
      </c>
      <c r="J9" s="34"/>
      <c r="K9" s="4" t="s">
        <v>25</v>
      </c>
      <c r="L9" s="5">
        <v>418.0</v>
      </c>
      <c r="M9" s="5">
        <v>687.0</v>
      </c>
      <c r="N9" s="5">
        <v>3430020.0</v>
      </c>
      <c r="O9" s="5">
        <v>1596375.0</v>
      </c>
      <c r="P9" s="39">
        <f t="shared" si="7"/>
        <v>0.06784612888</v>
      </c>
      <c r="Q9" s="40">
        <f t="shared" si="8"/>
        <v>8205.789474</v>
      </c>
      <c r="R9" s="41">
        <f t="shared" ref="R9:S9" si="17">M9/L9</f>
        <v>1.64354067</v>
      </c>
      <c r="S9" s="40">
        <f t="shared" si="17"/>
        <v>4992.751092</v>
      </c>
      <c r="T9" s="34"/>
    </row>
    <row r="10">
      <c r="A10" s="4" t="s">
        <v>26</v>
      </c>
      <c r="B10" s="5">
        <v>254.0</v>
      </c>
      <c r="C10" s="5">
        <v>408.0</v>
      </c>
      <c r="D10" s="5">
        <v>1804770.0</v>
      </c>
      <c r="E10" s="38">
        <v>868560.0</v>
      </c>
      <c r="F10" s="39">
        <f t="shared" si="2"/>
        <v>0.08937368051</v>
      </c>
      <c r="G10" s="40">
        <f t="shared" si="3"/>
        <v>7105.393701</v>
      </c>
      <c r="H10" s="41">
        <f t="shared" ref="H10:I10" si="18">C10/B10</f>
        <v>1.606299213</v>
      </c>
      <c r="I10" s="40">
        <f t="shared" si="18"/>
        <v>4423.455882</v>
      </c>
      <c r="J10" s="34"/>
      <c r="K10" s="4" t="s">
        <v>26</v>
      </c>
      <c r="L10" s="5">
        <v>442.0</v>
      </c>
      <c r="M10" s="5">
        <v>738.0</v>
      </c>
      <c r="N10" s="5">
        <v>3375460.0</v>
      </c>
      <c r="O10" s="5">
        <v>1614635.0</v>
      </c>
      <c r="P10" s="39">
        <f t="shared" si="7"/>
        <v>0.07174160039</v>
      </c>
      <c r="Q10" s="40">
        <f t="shared" si="8"/>
        <v>7636.78733</v>
      </c>
      <c r="R10" s="41">
        <f t="shared" ref="R10:S10" si="19">M10/L10</f>
        <v>1.669683258</v>
      </c>
      <c r="S10" s="40">
        <f t="shared" si="19"/>
        <v>4573.794038</v>
      </c>
      <c r="T10" s="34"/>
    </row>
    <row r="11">
      <c r="A11" s="4" t="s">
        <v>27</v>
      </c>
      <c r="B11" s="5">
        <v>269.0</v>
      </c>
      <c r="C11" s="5">
        <v>385.0</v>
      </c>
      <c r="D11" s="5">
        <v>1582735.0</v>
      </c>
      <c r="E11" s="38">
        <v>742940.0</v>
      </c>
      <c r="F11" s="39">
        <f t="shared" si="2"/>
        <v>0.09465165376</v>
      </c>
      <c r="G11" s="40">
        <f t="shared" si="3"/>
        <v>5883.773234</v>
      </c>
      <c r="H11" s="41">
        <f t="shared" ref="H11:I11" si="20">C11/B11</f>
        <v>1.431226766</v>
      </c>
      <c r="I11" s="40">
        <f t="shared" si="20"/>
        <v>4111</v>
      </c>
      <c r="J11" s="34"/>
      <c r="K11" s="4" t="s">
        <v>27</v>
      </c>
      <c r="L11" s="5">
        <v>430.0</v>
      </c>
      <c r="M11" s="5">
        <v>731.0</v>
      </c>
      <c r="N11" s="5">
        <v>3476385.0</v>
      </c>
      <c r="O11" s="5">
        <v>1640210.0</v>
      </c>
      <c r="P11" s="39">
        <f t="shared" si="7"/>
        <v>0.06979386463</v>
      </c>
      <c r="Q11" s="40">
        <f t="shared" si="8"/>
        <v>8084.616279</v>
      </c>
      <c r="R11" s="41">
        <f t="shared" ref="R11:S11" si="21">M11/L11</f>
        <v>1.7</v>
      </c>
      <c r="S11" s="40">
        <f t="shared" si="21"/>
        <v>4755.656635</v>
      </c>
      <c r="T11" s="34"/>
    </row>
    <row r="12">
      <c r="A12" s="4" t="s">
        <v>28</v>
      </c>
      <c r="B12" s="5">
        <v>358.0</v>
      </c>
      <c r="C12" s="5">
        <v>625.0</v>
      </c>
      <c r="D12" s="5">
        <v>3222065.0</v>
      </c>
      <c r="E12" s="38">
        <v>1519155.0</v>
      </c>
      <c r="F12" s="39">
        <f t="shared" si="2"/>
        <v>0.1259676284</v>
      </c>
      <c r="G12" s="40">
        <f t="shared" si="3"/>
        <v>9000.181564</v>
      </c>
      <c r="H12" s="41">
        <f t="shared" ref="H12:I12" si="22">C12/B12</f>
        <v>1.745810056</v>
      </c>
      <c r="I12" s="40">
        <f t="shared" si="22"/>
        <v>5155.304</v>
      </c>
      <c r="J12" s="34"/>
      <c r="K12" s="4" t="s">
        <v>28</v>
      </c>
      <c r="L12" s="5">
        <v>885.0</v>
      </c>
      <c r="M12" s="5">
        <v>1542.0</v>
      </c>
      <c r="N12" s="5">
        <v>8510590.0</v>
      </c>
      <c r="O12" s="5">
        <v>4095850.0</v>
      </c>
      <c r="P12" s="39">
        <f t="shared" si="7"/>
        <v>0.1436455121</v>
      </c>
      <c r="Q12" s="40">
        <f t="shared" si="8"/>
        <v>9616.485876</v>
      </c>
      <c r="R12" s="41">
        <f t="shared" ref="R12:S12" si="23">M12/L12</f>
        <v>1.742372881</v>
      </c>
      <c r="S12" s="40">
        <f t="shared" si="23"/>
        <v>5519.189364</v>
      </c>
      <c r="T12" s="34"/>
    </row>
    <row r="13">
      <c r="A13" s="4" t="s">
        <v>29</v>
      </c>
      <c r="B13" s="5">
        <v>220.0</v>
      </c>
      <c r="C13" s="5">
        <v>323.0</v>
      </c>
      <c r="D13" s="5">
        <v>1638945.0</v>
      </c>
      <c r="E13" s="38">
        <v>766755.0</v>
      </c>
      <c r="F13" s="39">
        <f t="shared" si="2"/>
        <v>0.07741027445</v>
      </c>
      <c r="G13" s="40">
        <f t="shared" si="3"/>
        <v>7449.75</v>
      </c>
      <c r="H13" s="41">
        <f t="shared" ref="H13:I13" si="24">C13/B13</f>
        <v>1.468181818</v>
      </c>
      <c r="I13" s="40">
        <f t="shared" si="24"/>
        <v>5074.133127</v>
      </c>
      <c r="J13" s="34"/>
      <c r="K13" s="4" t="s">
        <v>29</v>
      </c>
      <c r="L13" s="5">
        <v>381.0</v>
      </c>
      <c r="M13" s="5">
        <v>625.0</v>
      </c>
      <c r="N13" s="5">
        <v>3439535.0</v>
      </c>
      <c r="O13" s="5">
        <v>1651705.0</v>
      </c>
      <c r="P13" s="39">
        <f t="shared" si="7"/>
        <v>0.06184061029</v>
      </c>
      <c r="Q13" s="40">
        <f t="shared" si="8"/>
        <v>9027.650919</v>
      </c>
      <c r="R13" s="41">
        <f t="shared" ref="R13:S13" si="25">M13/L13</f>
        <v>1.640419948</v>
      </c>
      <c r="S13" s="40">
        <f t="shared" si="25"/>
        <v>5503.256</v>
      </c>
      <c r="T13" s="34"/>
    </row>
    <row r="14">
      <c r="A14" s="4" t="s">
        <v>30</v>
      </c>
      <c r="B14" s="5">
        <v>224.0</v>
      </c>
      <c r="C14" s="5">
        <v>338.0</v>
      </c>
      <c r="D14" s="5">
        <v>1742675.0</v>
      </c>
      <c r="E14" s="38">
        <v>828905.0</v>
      </c>
      <c r="F14" s="39">
        <f t="shared" si="2"/>
        <v>0.07881773399</v>
      </c>
      <c r="G14" s="40">
        <f t="shared" si="3"/>
        <v>7779.799107</v>
      </c>
      <c r="H14" s="41">
        <f t="shared" ref="H14:I14" si="26">C14/B14</f>
        <v>1.508928571</v>
      </c>
      <c r="I14" s="40">
        <f t="shared" si="26"/>
        <v>5155.843195</v>
      </c>
      <c r="J14" s="34"/>
      <c r="K14" s="4" t="s">
        <v>30</v>
      </c>
      <c r="L14" s="5">
        <v>384.0</v>
      </c>
      <c r="M14" s="5">
        <v>654.0</v>
      </c>
      <c r="N14" s="5">
        <v>3467475.0</v>
      </c>
      <c r="O14" s="5">
        <v>1650495.0</v>
      </c>
      <c r="P14" s="39">
        <f t="shared" si="7"/>
        <v>0.06232754423</v>
      </c>
      <c r="Q14" s="40">
        <f t="shared" si="8"/>
        <v>9029.882813</v>
      </c>
      <c r="R14" s="41">
        <f t="shared" ref="R14:S14" si="27">M14/L14</f>
        <v>1.703125</v>
      </c>
      <c r="S14" s="40">
        <f t="shared" si="27"/>
        <v>5301.949541</v>
      </c>
      <c r="T14" s="34"/>
    </row>
    <row r="15">
      <c r="A15" s="4" t="s">
        <v>31</v>
      </c>
      <c r="B15" s="5">
        <v>230.0</v>
      </c>
      <c r="C15" s="5">
        <v>349.0</v>
      </c>
      <c r="D15" s="5">
        <v>1446720.0</v>
      </c>
      <c r="E15" s="38">
        <v>692780.0</v>
      </c>
      <c r="F15" s="39">
        <f t="shared" si="2"/>
        <v>0.08092892329</v>
      </c>
      <c r="G15" s="40">
        <f t="shared" si="3"/>
        <v>6290.086957</v>
      </c>
      <c r="H15" s="41">
        <f t="shared" ref="H15:I15" si="28">C15/B15</f>
        <v>1.517391304</v>
      </c>
      <c r="I15" s="40">
        <f t="shared" si="28"/>
        <v>4145.329513</v>
      </c>
      <c r="J15" s="34"/>
      <c r="K15" s="4" t="s">
        <v>31</v>
      </c>
      <c r="L15" s="5">
        <v>351.0</v>
      </c>
      <c r="M15" s="5">
        <v>561.0</v>
      </c>
      <c r="N15" s="5">
        <v>2413840.0</v>
      </c>
      <c r="O15" s="5">
        <v>1158025.0</v>
      </c>
      <c r="P15" s="39">
        <f t="shared" si="7"/>
        <v>0.0569712709</v>
      </c>
      <c r="Q15" s="40">
        <f t="shared" si="8"/>
        <v>6877.037037</v>
      </c>
      <c r="R15" s="41">
        <f t="shared" ref="R15:S15" si="29">M15/L15</f>
        <v>1.598290598</v>
      </c>
      <c r="S15" s="40">
        <f t="shared" si="29"/>
        <v>4302.745098</v>
      </c>
      <c r="T15" s="34"/>
    </row>
    <row r="16">
      <c r="A16" s="31" t="s">
        <v>32</v>
      </c>
      <c r="B16" s="32">
        <v>311.0</v>
      </c>
      <c r="C16" s="32">
        <v>523.0</v>
      </c>
      <c r="D16" s="32">
        <v>2693735.0</v>
      </c>
      <c r="E16" s="47">
        <v>1293325.0</v>
      </c>
      <c r="F16" s="48">
        <f t="shared" si="2"/>
        <v>0.1094299789</v>
      </c>
      <c r="G16" s="49">
        <f t="shared" si="3"/>
        <v>8661.527331</v>
      </c>
      <c r="H16" s="50">
        <f t="shared" ref="H16:I16" si="30">C16/B16</f>
        <v>1.681672026</v>
      </c>
      <c r="I16" s="49">
        <f t="shared" si="30"/>
        <v>5150.544933</v>
      </c>
      <c r="J16" s="34"/>
      <c r="K16" s="31" t="s">
        <v>32</v>
      </c>
      <c r="L16" s="32">
        <v>743.0</v>
      </c>
      <c r="M16" s="32">
        <v>1364.0</v>
      </c>
      <c r="N16" s="32">
        <v>7542645.0</v>
      </c>
      <c r="O16" s="32">
        <v>3669875.0</v>
      </c>
      <c r="P16" s="48">
        <f t="shared" si="7"/>
        <v>0.1205973056</v>
      </c>
      <c r="Q16" s="49">
        <f t="shared" si="8"/>
        <v>10151.60834</v>
      </c>
      <c r="R16" s="50">
        <f t="shared" ref="R16:S16" si="31">M16/L16</f>
        <v>1.835800808</v>
      </c>
      <c r="S16" s="49">
        <f t="shared" si="31"/>
        <v>5529.798387</v>
      </c>
      <c r="T16" s="34"/>
    </row>
    <row r="19">
      <c r="A19" s="33" t="s">
        <v>39</v>
      </c>
      <c r="B19" s="34"/>
      <c r="C19" s="34"/>
      <c r="D19" s="34"/>
      <c r="E19" s="34"/>
      <c r="F19" s="34"/>
      <c r="G19" s="34"/>
      <c r="H19" s="34"/>
      <c r="I19" s="34"/>
    </row>
    <row r="20">
      <c r="A20" s="29" t="s">
        <v>15</v>
      </c>
      <c r="B20" s="29" t="s">
        <v>1</v>
      </c>
      <c r="C20" s="29" t="s">
        <v>2</v>
      </c>
      <c r="D20" s="29" t="s">
        <v>3</v>
      </c>
      <c r="E20" s="29" t="s">
        <v>4</v>
      </c>
      <c r="F20" s="37" t="s">
        <v>35</v>
      </c>
      <c r="G20" s="37" t="s">
        <v>36</v>
      </c>
      <c r="H20" s="37" t="s">
        <v>37</v>
      </c>
      <c r="I20" s="37" t="s">
        <v>38</v>
      </c>
    </row>
    <row r="21">
      <c r="A21" s="42"/>
      <c r="B21" s="43"/>
      <c r="C21" s="43"/>
      <c r="D21" s="5">
        <v>0.0</v>
      </c>
      <c r="E21" s="5">
        <v>0.0</v>
      </c>
      <c r="F21" s="44"/>
      <c r="G21" s="45"/>
      <c r="H21" s="46"/>
      <c r="I21" s="45"/>
    </row>
    <row r="22">
      <c r="A22" s="42"/>
      <c r="B22" s="43"/>
      <c r="C22" s="43"/>
      <c r="D22" s="5">
        <v>0.0</v>
      </c>
      <c r="E22" s="5">
        <v>0.0</v>
      </c>
      <c r="F22" s="44"/>
      <c r="G22" s="45"/>
      <c r="H22" s="46"/>
      <c r="I22" s="45"/>
    </row>
    <row r="23">
      <c r="A23" s="42"/>
      <c r="B23" s="43"/>
      <c r="C23" s="43"/>
      <c r="D23" s="5">
        <v>0.0</v>
      </c>
      <c r="E23" s="5">
        <v>0.0</v>
      </c>
      <c r="F23" s="44"/>
      <c r="G23" s="45"/>
      <c r="H23" s="46"/>
      <c r="I23" s="45"/>
    </row>
    <row r="24">
      <c r="A24" s="42"/>
      <c r="B24" s="43"/>
      <c r="C24" s="43"/>
      <c r="D24" s="5">
        <v>0.0</v>
      </c>
      <c r="E24" s="5">
        <v>0.0</v>
      </c>
      <c r="F24" s="44"/>
      <c r="G24" s="45"/>
      <c r="H24" s="46"/>
      <c r="I24" s="45"/>
    </row>
    <row r="25">
      <c r="A25" s="42"/>
      <c r="B25" s="43"/>
      <c r="C25" s="43"/>
      <c r="D25" s="5">
        <v>0.0</v>
      </c>
      <c r="E25" s="5">
        <v>0.0</v>
      </c>
      <c r="F25" s="44"/>
      <c r="G25" s="45"/>
      <c r="H25" s="46"/>
      <c r="I25" s="45"/>
    </row>
    <row r="26">
      <c r="A26" s="4" t="s">
        <v>24</v>
      </c>
      <c r="B26" s="5">
        <v>5881.0</v>
      </c>
      <c r="C26" s="5">
        <v>7651.0</v>
      </c>
      <c r="D26" s="5">
        <v>4.608989E7</v>
      </c>
      <c r="E26" s="5">
        <v>2.257783E7</v>
      </c>
      <c r="F26" s="39">
        <f t="shared" ref="F26:F34" si="33">B26/B$26</f>
        <v>1</v>
      </c>
      <c r="G26" s="40">
        <f t="shared" ref="G26:G34" si="34">D26/B26</f>
        <v>7837.083829</v>
      </c>
      <c r="H26" s="41">
        <f t="shared" ref="H26:I26" si="32">C26/B26</f>
        <v>1.300969223</v>
      </c>
      <c r="I26" s="40">
        <f t="shared" si="32"/>
        <v>6024.034767</v>
      </c>
    </row>
    <row r="27">
      <c r="A27" s="4" t="s">
        <v>25</v>
      </c>
      <c r="B27" s="5">
        <v>690.0</v>
      </c>
      <c r="C27" s="5">
        <v>1011.0</v>
      </c>
      <c r="D27" s="5">
        <v>5531845.0</v>
      </c>
      <c r="E27" s="5">
        <v>2540340.0</v>
      </c>
      <c r="F27" s="39">
        <f t="shared" si="33"/>
        <v>0.1173269852</v>
      </c>
      <c r="G27" s="40">
        <f t="shared" si="34"/>
        <v>8017.166667</v>
      </c>
      <c r="H27" s="41">
        <f t="shared" ref="H27:I27" si="35">C27/B27</f>
        <v>1.465217391</v>
      </c>
      <c r="I27" s="40">
        <f t="shared" si="35"/>
        <v>5471.656775</v>
      </c>
    </row>
    <row r="28">
      <c r="A28" s="4" t="s">
        <v>26</v>
      </c>
      <c r="B28" s="5">
        <v>473.0</v>
      </c>
      <c r="C28" s="5">
        <v>675.0</v>
      </c>
      <c r="D28" s="5">
        <v>3571370.0</v>
      </c>
      <c r="E28" s="5">
        <v>1677170.0</v>
      </c>
      <c r="F28" s="39">
        <f t="shared" si="33"/>
        <v>0.08042849855</v>
      </c>
      <c r="G28" s="40">
        <f t="shared" si="34"/>
        <v>7550.465116</v>
      </c>
      <c r="H28" s="41">
        <f t="shared" ref="H28:I28" si="36">C28/B28</f>
        <v>1.427061311</v>
      </c>
      <c r="I28" s="40">
        <f t="shared" si="36"/>
        <v>5290.918519</v>
      </c>
    </row>
    <row r="29">
      <c r="A29" s="4" t="s">
        <v>27</v>
      </c>
      <c r="B29" s="5">
        <v>420.0</v>
      </c>
      <c r="C29" s="5">
        <v>601.0</v>
      </c>
      <c r="D29" s="5">
        <v>2838000.0</v>
      </c>
      <c r="E29" s="5">
        <v>1371040.0</v>
      </c>
      <c r="F29" s="39">
        <f t="shared" si="33"/>
        <v>0.07141642578</v>
      </c>
      <c r="G29" s="40">
        <f t="shared" si="34"/>
        <v>6757.142857</v>
      </c>
      <c r="H29" s="41">
        <f t="shared" ref="H29:I29" si="37">C29/B29</f>
        <v>1.430952381</v>
      </c>
      <c r="I29" s="40">
        <f t="shared" si="37"/>
        <v>4722.129784</v>
      </c>
    </row>
    <row r="30">
      <c r="A30" s="4" t="s">
        <v>28</v>
      </c>
      <c r="B30" s="5">
        <v>999.0</v>
      </c>
      <c r="C30" s="5">
        <v>1660.0</v>
      </c>
      <c r="D30" s="5">
        <v>8927160.0</v>
      </c>
      <c r="E30" s="5">
        <v>4306665.0</v>
      </c>
      <c r="F30" s="39">
        <f t="shared" si="33"/>
        <v>0.1698690699</v>
      </c>
      <c r="G30" s="40">
        <f t="shared" si="34"/>
        <v>8936.096096</v>
      </c>
      <c r="H30" s="41">
        <f t="shared" ref="H30:I30" si="38">C30/B30</f>
        <v>1.661661662</v>
      </c>
      <c r="I30" s="40">
        <f t="shared" si="38"/>
        <v>5377.807229</v>
      </c>
    </row>
    <row r="31">
      <c r="A31" s="4" t="s">
        <v>29</v>
      </c>
      <c r="B31" s="5">
        <v>387.0</v>
      </c>
      <c r="C31" s="5">
        <v>562.0</v>
      </c>
      <c r="D31" s="5">
        <v>3135275.0</v>
      </c>
      <c r="E31" s="5">
        <v>1509805.0</v>
      </c>
      <c r="F31" s="39">
        <f t="shared" si="33"/>
        <v>0.06580513518</v>
      </c>
      <c r="G31" s="40">
        <f t="shared" si="34"/>
        <v>8101.485788</v>
      </c>
      <c r="H31" s="41">
        <f t="shared" ref="H31:I31" si="39">C31/B31</f>
        <v>1.452196382</v>
      </c>
      <c r="I31" s="40">
        <f t="shared" si="39"/>
        <v>5578.781139</v>
      </c>
    </row>
    <row r="32">
      <c r="A32" s="4" t="s">
        <v>30</v>
      </c>
      <c r="B32" s="5">
        <v>343.0</v>
      </c>
      <c r="C32" s="5">
        <v>522.0</v>
      </c>
      <c r="D32" s="5">
        <v>2546775.0</v>
      </c>
      <c r="E32" s="5">
        <v>1241075.0</v>
      </c>
      <c r="F32" s="39">
        <f t="shared" si="33"/>
        <v>0.05832341439</v>
      </c>
      <c r="G32" s="40">
        <f t="shared" si="34"/>
        <v>7425</v>
      </c>
      <c r="H32" s="41">
        <f t="shared" ref="H32:I32" si="40">C32/B32</f>
        <v>1.521865889</v>
      </c>
      <c r="I32" s="40">
        <f t="shared" si="40"/>
        <v>4878.87931</v>
      </c>
    </row>
    <row r="33">
      <c r="A33" s="4" t="s">
        <v>31</v>
      </c>
      <c r="B33" s="5">
        <v>356.0</v>
      </c>
      <c r="C33" s="5">
        <v>518.0</v>
      </c>
      <c r="D33" s="5">
        <v>2251975.0</v>
      </c>
      <c r="E33" s="5">
        <v>1074480.0</v>
      </c>
      <c r="F33" s="39">
        <f t="shared" si="33"/>
        <v>0.0605339228</v>
      </c>
      <c r="G33" s="40">
        <f t="shared" si="34"/>
        <v>6325.772472</v>
      </c>
      <c r="H33" s="41">
        <f t="shared" ref="H33:I33" si="41">C33/B33</f>
        <v>1.45505618</v>
      </c>
      <c r="I33" s="40">
        <f t="shared" si="41"/>
        <v>4347.442085</v>
      </c>
    </row>
    <row r="34">
      <c r="A34" s="31" t="s">
        <v>32</v>
      </c>
      <c r="B34" s="32">
        <v>778.0</v>
      </c>
      <c r="C34" s="32">
        <v>1300.0</v>
      </c>
      <c r="D34" s="32">
        <v>7285410.0</v>
      </c>
      <c r="E34" s="32">
        <v>3469510.0</v>
      </c>
      <c r="F34" s="48">
        <f t="shared" si="33"/>
        <v>0.1322904268</v>
      </c>
      <c r="G34" s="49">
        <f t="shared" si="34"/>
        <v>9364.280206</v>
      </c>
      <c r="H34" s="50">
        <f t="shared" ref="H34:I34" si="42">C34/B34</f>
        <v>1.670951157</v>
      </c>
      <c r="I34" s="49">
        <f t="shared" si="42"/>
        <v>5604.161538</v>
      </c>
    </row>
    <row r="37">
      <c r="B37" s="51" t="s">
        <v>40</v>
      </c>
      <c r="E37" s="51" t="s">
        <v>41</v>
      </c>
      <c r="F37" s="52"/>
      <c r="H37" s="53" t="s">
        <v>38</v>
      </c>
    </row>
    <row r="38">
      <c r="A38" s="54" t="s">
        <v>42</v>
      </c>
      <c r="B38" s="55" t="s">
        <v>33</v>
      </c>
      <c r="C38" s="55" t="s">
        <v>34</v>
      </c>
      <c r="D38" s="56" t="s">
        <v>39</v>
      </c>
      <c r="E38" s="57" t="s">
        <v>33</v>
      </c>
      <c r="F38" s="55" t="s">
        <v>34</v>
      </c>
      <c r="G38" s="56" t="s">
        <v>39</v>
      </c>
      <c r="H38" s="57" t="s">
        <v>33</v>
      </c>
      <c r="I38" s="55" t="s">
        <v>34</v>
      </c>
      <c r="J38" s="56" t="s">
        <v>39</v>
      </c>
    </row>
    <row r="39">
      <c r="A39" s="58" t="s">
        <v>19</v>
      </c>
      <c r="B39" s="59">
        <f t="shared" ref="B39:B52" si="43">VLOOKUP(A39,A2:I16,6,0)</f>
        <v>1</v>
      </c>
      <c r="E39" s="60">
        <f t="shared" ref="E39:E52" si="44">VLOOKUP(A39,A2:I16,7,0)</f>
        <v>6638.298733</v>
      </c>
      <c r="H39" s="60">
        <f t="shared" ref="H39:H52" si="45">VLOOKUP(A39,A2:I16,9,0)</f>
        <v>5250.777901</v>
      </c>
    </row>
    <row r="40">
      <c r="A40" s="61" t="s">
        <v>20</v>
      </c>
      <c r="B40" s="59">
        <f t="shared" si="43"/>
        <v>0.1861365236</v>
      </c>
      <c r="C40" s="59">
        <f t="shared" ref="C40:C52" si="46">VLOOKUP(A40,K3:S17,6,0)</f>
        <v>1</v>
      </c>
      <c r="E40" s="60">
        <f t="shared" si="44"/>
        <v>8274.120983</v>
      </c>
      <c r="F40" s="60">
        <f t="shared" ref="F40:F52" si="47">VLOOKUP(A40,K3:S17,7,0)</f>
        <v>8248.009252</v>
      </c>
      <c r="H40" s="60">
        <f t="shared" si="45"/>
        <v>5350.867971</v>
      </c>
      <c r="I40" s="60">
        <f t="shared" ref="I40:I52" si="48">VLOOKUP(A40,K3:S17,9,0)</f>
        <v>6367.91792</v>
      </c>
    </row>
    <row r="41">
      <c r="A41" s="61" t="s">
        <v>21</v>
      </c>
      <c r="B41" s="59">
        <f t="shared" si="43"/>
        <v>0.08339197748</v>
      </c>
      <c r="C41" s="59">
        <f t="shared" si="46"/>
        <v>0.1004707028</v>
      </c>
      <c r="E41" s="60">
        <f t="shared" si="44"/>
        <v>8054.599156</v>
      </c>
      <c r="F41" s="60">
        <f t="shared" si="47"/>
        <v>8717.988691</v>
      </c>
      <c r="H41" s="60">
        <f t="shared" si="45"/>
        <v>5873.661538</v>
      </c>
      <c r="I41" s="60">
        <f t="shared" si="48"/>
        <v>5747.00213</v>
      </c>
    </row>
    <row r="42">
      <c r="A42" s="61" t="s">
        <v>22</v>
      </c>
      <c r="B42" s="59">
        <f t="shared" si="43"/>
        <v>0.1118930331</v>
      </c>
      <c r="C42" s="59">
        <f t="shared" si="46"/>
        <v>0.08862197695</v>
      </c>
      <c r="E42" s="60">
        <f t="shared" si="44"/>
        <v>7412.893082</v>
      </c>
      <c r="F42" s="60">
        <f t="shared" si="47"/>
        <v>7352.57326</v>
      </c>
      <c r="H42" s="60">
        <f t="shared" si="45"/>
        <v>5047.751606</v>
      </c>
      <c r="I42" s="60">
        <f t="shared" si="48"/>
        <v>4695.327485</v>
      </c>
    </row>
    <row r="43">
      <c r="A43" s="61" t="s">
        <v>23</v>
      </c>
      <c r="B43" s="59">
        <f t="shared" si="43"/>
        <v>0.1115411682</v>
      </c>
      <c r="C43" s="59">
        <f t="shared" si="46"/>
        <v>0.07320240221</v>
      </c>
      <c r="E43" s="60">
        <f t="shared" si="44"/>
        <v>6982.744479</v>
      </c>
      <c r="F43" s="60">
        <f t="shared" si="47"/>
        <v>7795.853659</v>
      </c>
      <c r="H43" s="60">
        <f t="shared" si="45"/>
        <v>4729.764957</v>
      </c>
      <c r="I43" s="60">
        <f t="shared" si="48"/>
        <v>5051.623563</v>
      </c>
    </row>
    <row r="44">
      <c r="A44" s="61" t="s">
        <v>24</v>
      </c>
      <c r="B44" s="59">
        <f t="shared" si="43"/>
        <v>0.1287825475</v>
      </c>
      <c r="C44" s="59">
        <f t="shared" si="46"/>
        <v>0.152410323</v>
      </c>
      <c r="D44" s="59">
        <f t="shared" ref="D44:D52" si="49">VLOOKUP(A44,A25:I39,6,0)</f>
        <v>1</v>
      </c>
      <c r="E44" s="60">
        <f t="shared" si="44"/>
        <v>8245.040984</v>
      </c>
      <c r="F44" s="60">
        <f t="shared" si="47"/>
        <v>9322.880724</v>
      </c>
      <c r="G44" s="60">
        <f t="shared" ref="G44:G52" si="50">VLOOKUP(A44,A25:I39,7,0)</f>
        <v>7837.083829</v>
      </c>
      <c r="H44" s="60">
        <f t="shared" si="45"/>
        <v>4906.804878</v>
      </c>
      <c r="I44" s="60">
        <f t="shared" si="48"/>
        <v>5544.132362</v>
      </c>
      <c r="J44" s="60">
        <f t="shared" ref="J44:J52" si="51">VLOOKUP(A44,A25:I39,9,0)</f>
        <v>6024.034767</v>
      </c>
    </row>
    <row r="45">
      <c r="A45" s="61" t="s">
        <v>25</v>
      </c>
      <c r="B45" s="59">
        <f t="shared" si="43"/>
        <v>0.08233638283</v>
      </c>
      <c r="C45" s="59">
        <f t="shared" si="46"/>
        <v>0.06784612888</v>
      </c>
      <c r="D45" s="59">
        <f t="shared" si="49"/>
        <v>0.1173269852</v>
      </c>
      <c r="E45" s="60">
        <f t="shared" si="44"/>
        <v>6732.32906</v>
      </c>
      <c r="F45" s="60">
        <f t="shared" si="47"/>
        <v>8205.789474</v>
      </c>
      <c r="G45" s="60">
        <f t="shared" si="50"/>
        <v>8017.166667</v>
      </c>
      <c r="H45" s="60">
        <f t="shared" si="45"/>
        <v>4647.094395</v>
      </c>
      <c r="I45" s="60">
        <f t="shared" si="48"/>
        <v>4992.751092</v>
      </c>
      <c r="J45" s="60">
        <f t="shared" si="51"/>
        <v>5471.656775</v>
      </c>
    </row>
    <row r="46">
      <c r="A46" s="61" t="s">
        <v>26</v>
      </c>
      <c r="B46" s="59">
        <f t="shared" si="43"/>
        <v>0.08937368051</v>
      </c>
      <c r="C46" s="59">
        <f t="shared" si="46"/>
        <v>0.07174160039</v>
      </c>
      <c r="D46" s="59">
        <f t="shared" si="49"/>
        <v>0.08042849855</v>
      </c>
      <c r="E46" s="60">
        <f t="shared" si="44"/>
        <v>7105.393701</v>
      </c>
      <c r="F46" s="60">
        <f t="shared" si="47"/>
        <v>7636.78733</v>
      </c>
      <c r="G46" s="60">
        <f t="shared" si="50"/>
        <v>7550.465116</v>
      </c>
      <c r="H46" s="60">
        <f t="shared" si="45"/>
        <v>4423.455882</v>
      </c>
      <c r="I46" s="60">
        <f t="shared" si="48"/>
        <v>4573.794038</v>
      </c>
      <c r="J46" s="60">
        <f t="shared" si="51"/>
        <v>5290.918519</v>
      </c>
    </row>
    <row r="47">
      <c r="A47" s="61" t="s">
        <v>27</v>
      </c>
      <c r="B47" s="59">
        <f t="shared" si="43"/>
        <v>0.09465165376</v>
      </c>
      <c r="C47" s="59">
        <f t="shared" si="46"/>
        <v>0.06979386463</v>
      </c>
      <c r="D47" s="59">
        <f t="shared" si="49"/>
        <v>0.07141642578</v>
      </c>
      <c r="E47" s="60">
        <f t="shared" si="44"/>
        <v>5883.773234</v>
      </c>
      <c r="F47" s="60">
        <f t="shared" si="47"/>
        <v>8084.616279</v>
      </c>
      <c r="G47" s="60">
        <f t="shared" si="50"/>
        <v>6757.142857</v>
      </c>
      <c r="H47" s="60">
        <f t="shared" si="45"/>
        <v>4111</v>
      </c>
      <c r="I47" s="60">
        <f t="shared" si="48"/>
        <v>4755.656635</v>
      </c>
      <c r="J47" s="60">
        <f t="shared" si="51"/>
        <v>4722.129784</v>
      </c>
    </row>
    <row r="48">
      <c r="A48" s="61" t="s">
        <v>28</v>
      </c>
      <c r="B48" s="59">
        <f t="shared" si="43"/>
        <v>0.1259676284</v>
      </c>
      <c r="C48" s="59">
        <f t="shared" si="46"/>
        <v>0.1436455121</v>
      </c>
      <c r="D48" s="59">
        <f t="shared" si="49"/>
        <v>0.1698690699</v>
      </c>
      <c r="E48" s="60">
        <f t="shared" si="44"/>
        <v>9000.181564</v>
      </c>
      <c r="F48" s="60">
        <f t="shared" si="47"/>
        <v>9616.485876</v>
      </c>
      <c r="G48" s="60">
        <f t="shared" si="50"/>
        <v>8936.096096</v>
      </c>
      <c r="H48" s="60">
        <f t="shared" si="45"/>
        <v>5155.304</v>
      </c>
      <c r="I48" s="60">
        <f t="shared" si="48"/>
        <v>5519.189364</v>
      </c>
      <c r="J48" s="60">
        <f t="shared" si="51"/>
        <v>5377.807229</v>
      </c>
    </row>
    <row r="49">
      <c r="A49" s="61" t="s">
        <v>29</v>
      </c>
      <c r="B49" s="59">
        <f t="shared" si="43"/>
        <v>0.07741027445</v>
      </c>
      <c r="C49" s="59">
        <f t="shared" si="46"/>
        <v>0.06184061029</v>
      </c>
      <c r="D49" s="59">
        <f t="shared" si="49"/>
        <v>0.06580513518</v>
      </c>
      <c r="E49" s="60">
        <f t="shared" si="44"/>
        <v>7449.75</v>
      </c>
      <c r="F49" s="60">
        <f t="shared" si="47"/>
        <v>9027.650919</v>
      </c>
      <c r="G49" s="60">
        <f t="shared" si="50"/>
        <v>8101.485788</v>
      </c>
      <c r="H49" s="60">
        <f t="shared" si="45"/>
        <v>5074.133127</v>
      </c>
      <c r="I49" s="60">
        <f t="shared" si="48"/>
        <v>5503.256</v>
      </c>
      <c r="J49" s="60">
        <f t="shared" si="51"/>
        <v>5578.781139</v>
      </c>
    </row>
    <row r="50">
      <c r="A50" s="61" t="s">
        <v>30</v>
      </c>
      <c r="B50" s="59">
        <f t="shared" si="43"/>
        <v>0.07881773399</v>
      </c>
      <c r="C50" s="59">
        <f t="shared" si="46"/>
        <v>0.06232754423</v>
      </c>
      <c r="D50" s="59">
        <f t="shared" si="49"/>
        <v>0.05832341439</v>
      </c>
      <c r="E50" s="60">
        <f t="shared" si="44"/>
        <v>7779.799107</v>
      </c>
      <c r="F50" s="60">
        <f t="shared" si="47"/>
        <v>9029.882813</v>
      </c>
      <c r="G50" s="60">
        <f t="shared" si="50"/>
        <v>7425</v>
      </c>
      <c r="H50" s="60">
        <f t="shared" si="45"/>
        <v>5155.843195</v>
      </c>
      <c r="I50" s="60">
        <f t="shared" si="48"/>
        <v>5301.949541</v>
      </c>
      <c r="J50" s="60">
        <f t="shared" si="51"/>
        <v>4878.87931</v>
      </c>
    </row>
    <row r="51">
      <c r="A51" s="61" t="s">
        <v>31</v>
      </c>
      <c r="B51" s="59">
        <f t="shared" si="43"/>
        <v>0.08092892329</v>
      </c>
      <c r="C51" s="59">
        <f t="shared" si="46"/>
        <v>0.0569712709</v>
      </c>
      <c r="D51" s="59">
        <f t="shared" si="49"/>
        <v>0.0605339228</v>
      </c>
      <c r="E51" s="60">
        <f t="shared" si="44"/>
        <v>6290.086957</v>
      </c>
      <c r="F51" s="60">
        <f t="shared" si="47"/>
        <v>6877.037037</v>
      </c>
      <c r="G51" s="60">
        <f t="shared" si="50"/>
        <v>6325.772472</v>
      </c>
      <c r="H51" s="60">
        <f t="shared" si="45"/>
        <v>4145.329513</v>
      </c>
      <c r="I51" s="60">
        <f t="shared" si="48"/>
        <v>4302.745098</v>
      </c>
      <c r="J51" s="60">
        <f t="shared" si="51"/>
        <v>4347.442085</v>
      </c>
    </row>
    <row r="52">
      <c r="A52" s="61" t="s">
        <v>32</v>
      </c>
      <c r="B52" s="59">
        <f t="shared" si="43"/>
        <v>0.1094299789</v>
      </c>
      <c r="C52" s="59">
        <f t="shared" si="46"/>
        <v>0.1205973056</v>
      </c>
      <c r="D52" s="59">
        <f t="shared" si="49"/>
        <v>0.1322904268</v>
      </c>
      <c r="E52" s="60">
        <f t="shared" si="44"/>
        <v>8661.527331</v>
      </c>
      <c r="F52" s="60">
        <f t="shared" si="47"/>
        <v>10151.60834</v>
      </c>
      <c r="G52" s="60">
        <f t="shared" si="50"/>
        <v>9364.280206</v>
      </c>
      <c r="H52" s="60">
        <f t="shared" si="45"/>
        <v>5150.544933</v>
      </c>
      <c r="I52" s="60">
        <f t="shared" si="48"/>
        <v>5529.798387</v>
      </c>
      <c r="J52" s="60">
        <f t="shared" si="51"/>
        <v>5604.161538</v>
      </c>
    </row>
  </sheetData>
  <drawing r:id="rId1"/>
</worksheet>
</file>